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icket QA Form" sheetId="1" r:id="rId5"/>
    <sheet state="visible" name="Ticket Matrix (Reference)" sheetId="2" r:id="rId6"/>
    <sheet state="hidden" name="Lists" sheetId="3" r:id="rId7"/>
    <sheet state="visible" name="Matrix Notes" sheetId="4" r:id="rId8"/>
    <sheet state="visible" name="Rubric (Calibration)" sheetId="5" r:id="rId9"/>
    <sheet state="visible" name="Old Ticket Form (Ref)" sheetId="6" r:id="rId10"/>
  </sheets>
  <definedNames/>
  <calcPr/>
</workbook>
</file>

<file path=xl/sharedStrings.xml><?xml version="1.0" encoding="utf-8"?>
<sst xmlns="http://schemas.openxmlformats.org/spreadsheetml/2006/main" count="768" uniqueCount="326">
  <si>
    <t xml:space="preserve">Hotel Planner | Ticket QA — Matrix 2026 </t>
  </si>
  <si>
    <t>Date</t>
  </si>
  <si>
    <t>Guest Name / PNR</t>
  </si>
  <si>
    <t>Matrix Snapshot (auto from Case Key)</t>
  </si>
  <si>
    <t>Evaluator</t>
  </si>
  <si>
    <t>Itinerary # / Request ID</t>
  </si>
  <si>
    <t>Channel</t>
  </si>
  <si>
    <t>Agent Name</t>
  </si>
  <si>
    <t>Hotel Name</t>
  </si>
  <si>
    <t>Section</t>
  </si>
  <si>
    <t>Supervisor</t>
  </si>
  <si>
    <t>Hotel City/State</t>
  </si>
  <si>
    <t>Issue</t>
  </si>
  <si>
    <t>Tenure</t>
  </si>
  <si>
    <t>Case Key (Matrix)</t>
  </si>
  <si>
    <t>Required Actions (auto)</t>
  </si>
  <si>
    <t>LOB / Queue</t>
  </si>
  <si>
    <t>Critical Error?</t>
  </si>
  <si>
    <t>No</t>
  </si>
  <si>
    <t>Record / Ticket ID</t>
  </si>
  <si>
    <t>Critical Error Type</t>
  </si>
  <si>
    <t>Transaction Date</t>
  </si>
  <si>
    <t>Scoring (Back-office ticket work: documentation + procedure + matrix compliance) — Total 100 | Passing 90</t>
  </si>
  <si>
    <t>Attribute</t>
  </si>
  <si>
    <t>Item</t>
  </si>
  <si>
    <t>Weight</t>
  </si>
  <si>
    <t>Answer</t>
  </si>
  <si>
    <t>Score</t>
  </si>
  <si>
    <t>Ticket-Specific Calibration Checks</t>
  </si>
  <si>
    <t>Evidence / Notes</t>
  </si>
  <si>
    <t>Auto Flag</t>
  </si>
  <si>
    <t>Guest Experience</t>
  </si>
  <si>
    <t>Brand and Voice</t>
  </si>
  <si>
    <t>Email opening / context setup</t>
  </si>
  <si>
    <t>Ticket note/email starts with clear context, what was reviewed, and what will happen next (no phone-call greeting required).</t>
  </si>
  <si>
    <t>Professional tone (written/phone outbound)</t>
  </si>
  <si>
    <t>Professional + calm tone in emails/notes/outbound calls; avoids slang; correct brand voice.</t>
  </si>
  <si>
    <t>Ticket Handling</t>
  </si>
  <si>
    <t>Issue Resolution</t>
  </si>
  <si>
    <t>Problem understanding + correct diagnosis</t>
  </si>
  <si>
    <t>Identifies the real issue; verifies itinerary/guest/hotel/dates when needed; asks clarifying questions if info missing.</t>
  </si>
  <si>
    <t>Accurate information + correct expectations</t>
  </si>
  <si>
    <t>No misinformation; correct timelines; correct policy statements; avoids promising refunds without approval.</t>
  </si>
  <si>
    <t>Quality</t>
  </si>
  <si>
    <t>Follows procedure + correct workflow</t>
  </si>
  <si>
    <t>Uses correct workflow for ticket type; correct queue/escalation; no work avoidance; adheres to compliance rules.</t>
  </si>
  <si>
    <t>Matrix</t>
  </si>
  <si>
    <t>Compliance</t>
  </si>
  <si>
    <t>Matrix Compliance (correct path + required actions)</t>
  </si>
  <si>
    <t>From Case Key: follows exact Matrix Instructions; executes required Slack/Refund Queue/Supervisor/Ticket rules; documents actions + IDs.</t>
  </si>
  <si>
    <t>Offers applicable options (within policy)</t>
  </si>
  <si>
    <t>Offers only valid options for scenario (rebook, alternative hotel, voucher path, escalation) per matrix/policy.</t>
  </si>
  <si>
    <t>Goes the extra mile appropriately</t>
  </si>
  <si>
    <t>Proactively checks alternatives (rates/availability), contacts hotel/supplier as needed, and communicates outcomes clearly.</t>
  </si>
  <si>
    <t>Basics</t>
  </si>
  <si>
    <t>Uses trackers/tools correctly (RPP, refund matrix, suppliers)</t>
  </si>
  <si>
    <t>Uses trackers/matrices; contacts supplier/hotel/guest when required; documents confirmations; applies RPP/refund rules.</t>
  </si>
  <si>
    <t>Timeliness / SLA / prioritization</t>
  </si>
  <si>
    <t>Initial action taken promptly (ex: quick guest outreach when needed); progress updates; avoids stalling; meets queue SLA.</t>
  </si>
  <si>
    <t>Grammar/spelling/punctuation</t>
  </si>
  <si>
    <t>Correct spelling/grammar/punctuation; readable formatting; avoids run-on notes.</t>
  </si>
  <si>
    <t>Clear and professional wording</t>
  </si>
  <si>
    <t>Clear, simple language; avoids internal jargon; reads well to guests/suppliers.</t>
  </si>
  <si>
    <t>Conciseness</t>
  </si>
  <si>
    <t>Uses correct templates; customizes properly</t>
  </si>
  <si>
    <t>Correct template; edits placeholders; adds relevant context; does not send irrelevant template.</t>
  </si>
  <si>
    <t>Autofail Parameters (any FAIL = Autofail)</t>
  </si>
  <si>
    <t>Autofail</t>
  </si>
  <si>
    <t>Work Avoidance</t>
  </si>
  <si>
    <t>N/A</t>
  </si>
  <si>
    <t>Fail = Autofail. Review description + matrix if applicable.</t>
  </si>
  <si>
    <t>** GENRES – Unresolved/New incidents should be responded within 24 hours.
** HMSC - Unresolved/New incidents should be responded within 24 hours.
** WS – Unresolved/new incidents should be responded within 4 hours.
** REPLY Incidents/Cases – should be responded within 24 hours. Anything that will go beyond 25 hours should have corresponding updates to the guest, stating the reason for the delay of completion. All outages, tools issue that prevents answering current incidents within the reuired SLAs should be reported.  
** Invalid Referral to other department especially if agent can handle the concern within the e-mail transaction.
** No screen activity for 10 minutes.</t>
  </si>
  <si>
    <t>Security Verification/
Fraud</t>
  </si>
  <si>
    <t>* ALL concerns related to HM accounts are referrals to Voice HMSC.
* PNR Security for RNT follows the same procedure under FAQ 1450. Asking/sharing credit card information via RNT is prohibited.
** HM Scecurity for HMSC RNT- Agents should exhaust all information on the RNT form filled-out by the customer to proceed with security verification. Failure to do so may result to Work Avoidance if HMSC RNT referred the customer to call HMSC Voice.
** Minimum of two (2) information that matches into the HM account will pass the verification procedure.
** If the sender of the emails seek assistance for a process that is outside RNT scope and procedure or expresses frustration regarding the policy, agent should forward the email his/her Genres-Support Escalation for handling.</t>
  </si>
  <si>
    <t>DOT Advisements</t>
  </si>
  <si>
    <t>* Failed to disclose DOT-required information to the guest.</t>
  </si>
  <si>
    <t>Misinformation</t>
  </si>
  <si>
    <t>* Severe misinformation that may result to revenue loss, complaint or will affect customer’s reservation.</t>
  </si>
  <si>
    <t>TOTAL SCORE</t>
  </si>
  <si>
    <t>Result</t>
  </si>
  <si>
    <t>Overall Feedback / Coaching Notes</t>
  </si>
  <si>
    <t>Key</t>
  </si>
  <si>
    <t>Matrix_Instructions</t>
  </si>
  <si>
    <t>Slack_Rule</t>
  </si>
  <si>
    <t>RefundQueue_Rule</t>
  </si>
  <si>
    <t>Ticket_Rule</t>
  </si>
  <si>
    <t>Supervisor_Rule</t>
  </si>
  <si>
    <t>Ticket | Reservation not found at check-in</t>
  </si>
  <si>
    <t>Ticket</t>
  </si>
  <si>
    <t>Hotel &amp; Reservation Issues</t>
  </si>
  <si>
    <t>Reservation not found at check-in</t>
  </si>
  <si>
    <t>1. Call Supplier, 2. If unconfirmed by the Supplier in 20 minutes, 3. Create a Voucher and Rebook (if current hotel has inventory) or Relocate by Booking at a near by hotel. ** Do your best to upgrade the client's room type  to use full voucher value for their new reservation** The exception would be in they are lowering the number of nights they will expect a refund of the unused night(s). If there are any unused funds; Process a refund via the queue for the client and advise of the refund timeline (2-7 business days). 5. Call the hotel and obtain FOC, note the booking accurately with the hotel staff member's name, (if possible) the cancellation number, and the email address for the hotel manager or front desk. If you do not obtain FOC, take down hotel staff member's name and email address for the property. 5. If the guest declines support and requests a refund; then call the hotel and obtain FOC, note the booking accurately with the hotel staff member's name, (if possible) the cancellation number, and the email address for the hotel manager or front desk. If you do not obtain FOC, take down hotel staff member's name and email address for the property. 6. Process a refund via the queue for the client and advise of the refund timeline (2-7 business days).</t>
  </si>
  <si>
    <t>YES - Only for same day check in's. NO SLACK FOR FUTURE DATES.</t>
  </si>
  <si>
    <t>YES - for a voucher if rebooking</t>
  </si>
  <si>
    <t>NONE</t>
  </si>
  <si>
    <t>YES</t>
  </si>
  <si>
    <t>Ticket | Overbooking leading to relocation (“walked” reservation) or Hotel Is Closed Down</t>
  </si>
  <si>
    <t>Overbooking leading to relocation (“walked” reservation) or Hotel Is Closed Down</t>
  </si>
  <si>
    <t>1. Call Supplier, 2. If unconfirmed by the Supplier in 10 minutes, 3. Create a Voucher and Rebook (if current hotel has inventory) or Relocate by Booking at a near by hotel. ** Do your best to upgrade the client's room type  to use full voucher value for their new reservation** The exception would be in they are lowering the number of nights they will expect a refund of the unused night(s). If there are any unused funds; Process a refund via the queue for the client and advise of the refund timeline (2-7 business days). 5. Call the hotel and obtain FOC, note the booking accurately with the hotel staff member's name, (if possible) the cancellation number, and the email address for the hotel manager or front desk. If you do not obtain FOC, take down hotel staff member's name and email address for the property. 5. If the guest declines support and requests a refund; then call the hotel and obtain FOC, note the booking accurately with the hotel staff member's name, (if possible) the cancellation number, and the email address for the hotel manager or front desk. If you do not obtain FOC, take down hotel staff member's name and email address for the property. 6. Process a refund via the queue for the client and advise of the refund timeline (2-7 business days).</t>
  </si>
  <si>
    <t>Yes</t>
  </si>
  <si>
    <t>Ticket | Incorrect guest name or modifying name</t>
  </si>
  <si>
    <t>Incorrect guest name or modifying name</t>
  </si>
  <si>
    <t>If Name: Call the hotel and ask them to "add" the name (not to change the name), 2. If the hotel refuses then call the supplier and ask them to change it. 3. If the supplier is unable please go back to the phone and let the guest know you will rebook them under the correct name. 4. If they agree, create a voucher and rebook them under their preferred name. ** Do your best to upgrade the client's room type to use full voucher value for their new reservation** If there are any unused funds; Process a refund via the queue for the client and advise of the refund timeline (2-7 business days). 5. Call the hotel and obtain FOC, note the booking accurately with the hotel staff member's name, (if possible) the cancellation number, and the email address for the hotel manager or front desk. If you do not obtain FOC, take down hotel staff member's name and email address for the property. 6. If the guest declines support then call the hotel and obtain FOC, note the booking accurately with the hotel staff member 's name, (if possible) the cancellation number, and the email address for the hotel manager or front desk. If you do not obtain FOC, take down hotel staff member's name and email address for the property. 7. Process a refund via the queue for the client and advise them of the refund timeline (2-7 business days).</t>
  </si>
  <si>
    <t>Ticket | Incorrect  dates or modifying dates</t>
  </si>
  <si>
    <t>Incorrect  dates or modifying dates</t>
  </si>
  <si>
    <t>If the issue is the dates: (Prepaid) 1. Create a voucher via the refund queue and rebook the guest for the correct dates. ** Do your best to upgrade the client's room type to use full voucher value for their new reservation** The exception would be in the client is lowering the number of nights the client will expect a refund of the unused night(s). If there are any unused funds; Process a refund via the queue for the client and advise of the refund timeline (2-7 business days). 2. After the guest has their new reservation and confirmation let them go and place yourself on DND. 3. Call the hotel and obtain FOC, note the booking accurately with the hotel staff member 's name, (if possible) the cancellation number, and the email address for the hotel manager or front desk. If you do not obtain FOC, take down hotel staff member's name and email address for the property. 3. If the guest declines support and requests a refund; then call the hotel and obtain FOC, note the booking accurately with the hotel staff member 's name, (if possible) the cancellation number, and the email address for the hotel manager or front desk. If you do not obtain FOC, take down hotel staff member's name and email address for the property. 4. Process a refund via the queue for the client and advise of the refund timeline (2-7 business days).  (Pay at Hotel) 1. Call the hotel, ask for the dates to be changed, if the hotel agrees note the request accurately with the hotel staff member's name, (if possible) the confirmation number, and the email of the front desk. 2. Let the guest know their requested change is completed. 3. If the hotel declines the modification, check the website to confirm we have availability, advise the guest that you will need to request cancellation to rebook them, go back to the hotel, obtain FOC from the hotel, note the booking accurately with the hotel staff member's name, (if possible) the cancellation number, and the email address for the hotel manager or front desk. If you do not obtain FOC, take down hotel staff member's name and email address for the property. 4. Rebook the client for their perferred hotel or near by hotel if inventory is not available. 5. Complete the reservation, confirm the guest has received their confirmation and note the orginial booking with the new itinerary.</t>
  </si>
  <si>
    <t>Ticket | Incorrect number of guests or modifying guest count</t>
  </si>
  <si>
    <t>Incorrect number of guests or modifying guest count</t>
  </si>
  <si>
    <t>If the property is in the USA and not a resort: Call the front desk and have the reservation updated for the correct number of guests. If the hotel property is outside the USA or is a resort: 1. Create a voucher via the refund queue and rebook the guest for the correct occupancy. ** Do your best to upgrade the client's room type to use full voucher value for their new reservation**  If there are any unused funds; Process a refund via the queue for the client and advise of the refund timeline (2-7 business days). 2. After the guest has their new reservation and confirmation let them go and place yourself on DND. 3. Call the hotel and obtain FOC, note the booking accurately with the hotel staff member 's name, (if possible) the cancellation number, and the email address for the hotel manager or front desk. If you do not obtain FOC, take down hotel staff member's name and email address for the property. 3. If the guest declines support and requests a refund; then call the hotel and obtain FOC, note the booking accurately with the hotel staff member 's name, (if possible) the cancellation number, and the email address for the hotel manager or front desk. If you do not obtain FOC, take down hotel staff member's name and email address for the property. 4. Process a refund via the queue for the client and advise of the refund timeline (2-7 business days).  (Pay at Hotel) 1. Call the hotel, ask for the occupancy to be changed, if the hotel agrees note the request accurately with the hotel staff member's name, (if possible) the confirmation number, and the email of the front desk. 2. Let the guest know their requested change is completed. 3. If the hotel declines the modification, check the website to confirm we have availability, advise the guest that you will need to request cancellation to rebook them, go back to the hotel, obtain FOC from the hotel, note the booking accurately with the hotel staff member's name, (if possible) the cancellation number, and the email address for the hotel manager or front desk. If you do not obtain FOC, take down hotel staff member's name and email address for the property. 4. Rebook the client for their perferred hotel or near by hotel if inventory is not available. 5. Complete the reservation, confirm the guest has received their confirmation and note the orginial booking with the new itinerary. IF THE RESERVATION IS MORE YOU WILL ASK THE GUEST TO PAY THE DIFFERNCE AND OPEN A TICKET FOR SUPERVISOR REVIEW. OCCUPANCY ERROR FROM SALES AGENTS WILL BE REFUNDED TO THE GUEST; PLEASE ADVISE THE GUEST OF THIS AND LET THEM KNOW IT WILL BE REVIEWED IN 1-2 BUSINESS DAYS. IF THE GUEST REFUSES TO PAY THE DIFFERENCE THEN YOU WILL NEED TO NOTIFY ON YOUR ON SHIFT SUPERVISOR SO THEY CAN GET A VOUCHER FROM US TO PAY THE DIFFERENCE. THIS IS FOR SITE ERRORS AND SALES AGENT ERRORS THAT WE CAN SUPPORT THE DIFFERENCE IN COST. IF THE OCCUPANCY ERROR IS FROM A GUEST SELF-BOOKING THEMSELVES THESE WILL MOST LIKELY WILL NOT RECEVIE REIMBURSEMENT.</t>
  </si>
  <si>
    <t>Ticket | Payment declined at check-in despite prepayment</t>
  </si>
  <si>
    <t>Payment declined at check-in despite prepayment</t>
  </si>
  <si>
    <t>1. Call Supplier, 2. If unpaid by the Supplier in 20 minutes 3. Create a Voucher and Rebook (if current hotel has inventory) or Relocate by Booking at a near by hotel. ** Do your best to upgrade the client's room type  to use full voucher value for their new reservation** The exception would be in they are lowering the number of nights they will expect a refund of the unused night(s). If there are any unused funds; Process a refund via the queue for the client and advise of the refund timeline (2-7 business days). 5. Call the hotel and obtain FOC, note the booking accurately with the hotel staff member's name, (if possible) the cancellation number, and the email address for the hotel manager or front desk. If you do not obtain FOC, take down hotel staff member's name and email address for the property. 5. If the guest declines support and requests a refund; then call the hotel and obtain FOC, note the booking accurately with the hotel staff member's name, (if possible) the cancellation number, and the email address for the hotel manager or front desk. If you do not obtain FOC, take down hotel staff member's name and email address for the property. 6. Process a refund via the queue for the client and advise of the refund timeline (2-7 business days). EXCEPTION IS DERBYSOFT ** INSTEAD OF CALLING THE SUPPLIER** ASK THE CHANNEL MANAGER FOR THE VIRTUAL CARD. IF NOT PROVIDED IN 20 MINUTES; MOVE FORWARD WITH REBOOKING THE GUEST.</t>
  </si>
  <si>
    <t>YES - Only for same day check in's AND DERBYSOFT. DERBYSOFT VIRTUAL CARDS WILL COME FROM HOTELPLANNER. NO SLACK FOR FUTURE DATES.</t>
  </si>
  <si>
    <t>NO</t>
  </si>
  <si>
    <t>Ticket | Rebooking due to wrong hotel booked or modifying to a new hotel</t>
  </si>
  <si>
    <t>Rebooking due to wrong hotel booked or modifying to a new hotel</t>
  </si>
  <si>
    <t>(Prepaid) 1. Create a voucher via the refund queue and rebook the guest for the correct hotel. ** Do your best to upgrade the client's room type to use full voucher value for their new reservation** The exception would be in the client is lowering the number of nights the client will expect a refund of the unused night(s). If there are any unused funds; Process a refund via the queue for the client and advise of the refund timeline (2-7 business days). 2. After the guest has their new reservation and confirmation let them go and place yourself on DND. 3. Call the hotel and obtain FOC, note the booking accurately with the hotel staff member 's name, (if possible) the cancellation number, and the email address for the hotel manager or front desk. If you do not obtain FOC, take down hotel staff member's name and email address for the property. 3. If the guest declines support and requests a refund; then call the hotel and obtain FOC, note the booking accurately with the hotel staff member 's name, (if possible) the cancellation number, and the email address for the hotel manager or front desk. If you do not obtain FOC, take down hotel staff member's name and email address for the property. 4. Process a refund via the queue for the client and advise of the refund timeline (2-7 business days).  (Pay at Hotel) 1. Call the hotel, ask for FOC from the hotel, note the booking accurately with the hotel staff member's name, (if possible) the cancellation number, and the email address for the hotel manager or front desk. If you do not obtain FOC, take down hotel staff member's name and email address for the property. 4. Rebook the client for their perferred hotel or near by hotel if inventory is not available. 5. Complete the reservation, confirm the guest has received their confirmation and note the orginial booking with the new itinerary.</t>
  </si>
  <si>
    <t>Ticket | Shuttle not available to get to property</t>
  </si>
  <si>
    <t>Shuttle not available to get to property</t>
  </si>
  <si>
    <t>Offer the guest 15% compensation toward ordering an UBER or LYFT and create the refund request in the refund queue. If they decline and say it will cost more than the 15% advise the guest they can book an Uber or Lyft and forward the receipt along with their itinerary to Reservations@HotelPlanner.com for reimbursement. Note the booking accurately and in detail.</t>
  </si>
  <si>
    <t>YES - If they accept 15% compensation</t>
  </si>
  <si>
    <t>Ticket | Early check-in or late check-out requests</t>
  </si>
  <si>
    <t>Early check-in or late check-out requests</t>
  </si>
  <si>
    <t>Call the hotel and make the request on behalf of the guest.</t>
  </si>
  <si>
    <t>Ticket | Early check-in or late check-out not honored</t>
  </si>
  <si>
    <t>Early check-in or late check-out not honored</t>
  </si>
  <si>
    <t>Offer the guest 15% compensation and create the refund request in the refund queue. If not agent error then advise these requests are to the discretion of the hotel. If the guest advises this is due to sales agent error then open a ticket for further review.</t>
  </si>
  <si>
    <t>Ticket | Hotel unaware of special requests or notes</t>
  </si>
  <si>
    <t>Hotel unaware of special requests or notes</t>
  </si>
  <si>
    <t>Offer the guest 15% compensation and create the refund request in the refund queue. If they decline and ask for more money please have the guest send their receipt or a copy of the charge to Reservations@HotelPlanner.com. Note the booking accurately and in detail.</t>
  </si>
  <si>
    <t>Ticket | Additional deposits or incidentals required unexpectedly</t>
  </si>
  <si>
    <t>Additional deposits or incidentals required unexpectedly</t>
  </si>
  <si>
    <t>Ticket | Long wait times or poor service at check-in</t>
  </si>
  <si>
    <t>Long wait times or poor service at check-in</t>
  </si>
  <si>
    <t>Offer the guest 15% compensation and create the refund request in the refund queue. These options are to the discretion of the hotel and not in our control.</t>
  </si>
  <si>
    <t>Ticket | Duplicate bookings made accidentally</t>
  </si>
  <si>
    <t>Duplicate bookings made accidentally</t>
  </si>
  <si>
    <t>ASK THE HOTELS TO CANCEL DUPLICATES: Please call the hotel and obtain FOC, note the booking accurately with the hotel staff member 's name, (if possible) the cancellation number, and the email address for the hotel manager or front desk. If you do not obtain FOC, take down hotel staff member's name and email address for the property. 7. Process a refund via the queue for the client and advise them of the refund timeline (2-7 business days). ** Only refund if applicable - if you are cancelling a duplicate that is only visible in the hotel's data base but not in our platform then the guest was not charged twice and no refund would be processed.</t>
  </si>
  <si>
    <t>Ticket | Room type, Bed type or accessibility features not honored or Modifying Room Request</t>
  </si>
  <si>
    <t>Room type, Bed type or accessibility features not honored or Modifying Room Request</t>
  </si>
  <si>
    <t>1. Call the hotel and ask them to move the guest to the appropriate room or requested room type 2. If the hotel refuses to do the change complimentary then ask them how much the upgrade or room change will cost. If the hotel agrees to charge a fee or the upgrade then advise the guest to pay the charge upon arrival. Ask the guest to email the receipt of the charge to Reservations@HotelPlanner.com for reimbursement. 3. If the hotel refuses all changes and requires a new reservation, confirm with the front desk the property has availabitlity if we rebook the guest for the correct room type, once the hotel confirms they do, request a cancellation on the existing room for FOC to rebook the guest, note the booking accurately with the hotel staff member's name, (if possible) the cancellation number, and the email address for the hotel manager or front desk. If you do not obtain FOC, take down hotel staff member's name and email address for the property. 4. Advise the guest you will rebook them for the correct room if the guest agrees, create a voucher and rebook them for their preferred room type. ** Do your best to upgrade the client's room type to use full voucher value for their new reservation** If there are any unused funds; Process a refund via the queue for the client and advise of the refund timeline (2-7 business days). 6. If the guest declines support then call the hotel and obtain FOC, note the booking accurately with the hotel staff member 's name, (if possible) the cancellation number, and the email address for the hotel manager or front desk. If you do not obtain FOC, take down hotel staff member's name and email address for the property. 7. Process a refund via the queue for the client and advise them of the refund timeline (2-7 business days).</t>
  </si>
  <si>
    <t>Yes - Only for same day check in's. NO SLACK FOR FUTURE DATES.</t>
  </si>
  <si>
    <t>Ticket | Promised amenities missing (breakfast, parking, Wi-Fi, view)</t>
  </si>
  <si>
    <t>Promised amenities missing (breakfast, parking, Wi-Fi, view)</t>
  </si>
  <si>
    <t>Ticket | Rate does not include expected inclusions</t>
  </si>
  <si>
    <t>Rate does not include expected inclusions</t>
  </si>
  <si>
    <t>Ticket | Hotel requests payment again for a prepaid booking</t>
  </si>
  <si>
    <t>Hotel requests payment again for a prepaid booking</t>
  </si>
  <si>
    <t>1. Call the Supplier to provide payment for the hotel. 2. If unpaid by the Supplier in 20 minutes create a ticket and advise the hotel we will have this resolved in 24 hours. EXCEPTION IS DERBYSOFT ASK THE CHANNEL MANAGER FOR THE VIRTUAL CARD. IF NOT PROVIDED WITHIN 5 MINUTES; OPEN A TICKET AND ADVISE THE HOTEL WE WILL HAVE THIS RESOLVED IN 24 HOURS.</t>
  </si>
  <si>
    <t>Yes - Drop Down Option "Hotel Needs Support" if unresolved</t>
  </si>
  <si>
    <t>Ticket | Charged more than expected  (resort fees or local fees)</t>
  </si>
  <si>
    <t>Charged more than expected  (resort fees or local fees)</t>
  </si>
  <si>
    <t>Ticket | Price Matching &amp; Complaints regarding Tax Recovery &amp; Fees</t>
  </si>
  <si>
    <t>Price Matching &amp; Complaints regarding Tax Recovery &amp; Fees</t>
  </si>
  <si>
    <t>Offer the guest 15% compensation and create the refund request in the refund queue. Note the booking accurately and in detail.</t>
  </si>
  <si>
    <t>Ticket | Currency conversion discrepancies</t>
  </si>
  <si>
    <t>Currency conversion discrepancies</t>
  </si>
  <si>
    <t>Ticket | Refund delays after cancellation or modification</t>
  </si>
  <si>
    <t>Refund delays after cancellation or modification</t>
  </si>
  <si>
    <t>Review and Create a Refund in the Refund Queue</t>
  </si>
  <si>
    <t>Ticket | Discrepanies from booking refundable vs. non-refundable</t>
  </si>
  <si>
    <t>Discrepanies from booking refundable vs. non-refundable</t>
  </si>
  <si>
    <t>(Prepaid) 1. Create a voucher via the refund queue and rebook the guest for the correct policy. ** Do your best to upgrade the client's room type to use full voucher value for their new reservation** The exception would be in the client is lowering the number of nights the client will expect a refund of the unused night(s). If there are any unused funds; Process a refund via the queue for the client and advise of the refund timeline (2-7 business days). 2. After the guest has their new reservation and confirmation let them go and place yourself on DND. 3. Call the hotel and obtain FOC, note the booking accurately with the hotel staff member 's name, (if possible) the cancellation number, and the email address for the hotel manager or front desk. If you do not obtain FOC, take down hotel staff member's name and email address for the property. 3. If the guest declines support and requests a refund; then call the hotel and obtain FOC, note the booking accurately with the hotel staff member 's name, (if possible) the cancellation number, and the email address for the hotel manager or front desk. If you do not obtain FOC, take down hotel staff member's name and email address for the property. 4. Process a refund via the queue for the client and advise of the refund timeline (2-7 business days).  (Pay at Hotel) 1. Call the hotel, ask for FOC from the hotel, note the booking accurately with the hotel staff member's name, (if possible) the cancellation number, and the email address for the hotel manager or front desk. If you do not obtain FOC, take down hotel staff member's name and email address for the property. 4. Rebook the client for their perferred policy or near by hotel if inventory is not available. 5. Complete the reservation, confirm the guest has received their confirmation and note the orginial booking with the new itinerary. 6. If the guest declines support and requests a refund; then call the hotel and obtain FOC, note the booking accurately with the hotel staff member 's name, (if possible) the cancellation number, and the email address for the hotel manager or front desk. If you do not obtain FOC, take down hotel staff member's name and email address for the property and provide it to the guest to request a free cancellation.</t>
  </si>
  <si>
    <t>Ticket | Unable to "Create a Refund" in the refund queue</t>
  </si>
  <si>
    <t>Unable to "Create a Refund" in the refund queue</t>
  </si>
  <si>
    <t>The refund tool is not working</t>
  </si>
  <si>
    <t>Ticket | Hotel Calls</t>
  </si>
  <si>
    <t>Supplier, Hotel, and Group Calls</t>
  </si>
  <si>
    <t>Hotel Calls</t>
  </si>
  <si>
    <t>Create a ticket for under "Hotel Needs Support", if they wish to speak with a manager please ask them to email VIPRES@HotelPlanner.com to contact our Service Managers.</t>
  </si>
  <si>
    <t>Yes - Drop Down Option "Hotel Needs Support"</t>
  </si>
  <si>
    <t>Ticket | Supplier Calls</t>
  </si>
  <si>
    <t>Supplier Calls</t>
  </si>
  <si>
    <t>Create a ticket for review under "Supplier Needs Support", if they wish to speak with a manager please ask them to email VIPRES@HotelPlanner.com to contact our Service Managers.</t>
  </si>
  <si>
    <t>Yes - Drop Down Option "Supplier Needs Support"</t>
  </si>
  <si>
    <t>Ticket | Group Clients</t>
  </si>
  <si>
    <t>Group Clients</t>
  </si>
  <si>
    <t>Client is unable to contact the agent assigned/planner for their Group Request and/or unable to access their account</t>
  </si>
  <si>
    <t>Ticket | Voucher Clients</t>
  </si>
  <si>
    <t>Voucher Clients</t>
  </si>
  <si>
    <t>If it's a sales agent calling in to use a voucher that is failing then refer them to Vouchers@HotelPlanner.com. If it's a guest with a voucher assist them in booking. If the guest voucher fails then please ask them to contact Vouchers@HotelPlanner.com for it to be reissued.</t>
  </si>
  <si>
    <t>Ticket | Cancelling Refundable</t>
  </si>
  <si>
    <t>Cancellation &amp; Confirmations</t>
  </si>
  <si>
    <t>Cancelling Refundable</t>
  </si>
  <si>
    <t>If a guest is requesting to cancel a refundable room, select cancel, and confirm their refund was processed. If the refund does not process automatically then put the refund into the refund queue. Do not refund the RPP.</t>
  </si>
  <si>
    <t>YES - if not processed automatically</t>
  </si>
  <si>
    <t>Ticket | Cancelling Non Refundable</t>
  </si>
  <si>
    <t>Cancelling Non Refundable</t>
  </si>
  <si>
    <t>If a guest is requesting to cancel a non refundable room type (reasons why we would process are agent error, hotel closure or unable to accept the guest, unpredictable or dangerous weather conditions, death, flight cancellations, medical, emergencies, gesture of goodwill due to the hotel's exception). 1. Check to see if the reservation has RPP, if yes offer to email the claim link to the client or the guest can receive 100% voucher immediately. If the guest denies the voucher please reach out to the hotel to see if we can obtain a waiver. 2. Call the hotel and request FOC, note the booking accurately with the hotel staff member's name, (if possible) the cancellation number, and the email address for the hotel manager or front desk. If you do not obtain FOC, take down hotel staff member's name and email address for the property. If you are unable to obtain FOC, ask the hotel for a waiver minus one night (for multi nights), if it's still denied then we can offer the guest the option to add a name so a friend or family member can use the room. If none of these options are acceptable we would offer 100% voucher or 50% refund. Make sure the guest is aware the hotel is denying the refund in case they would like to contact the hotel directly for a full waiver. If you do obtain FOC then note the request accurately and completely. Then process a refund via the Refund Queue for the amount you were able to get waived. Advise the guest of the refund timeline (2-7 business days). Do not refund the RPP.</t>
  </si>
  <si>
    <t>YES - when applicable</t>
  </si>
  <si>
    <t>Ticket | Conflicting information between hotel and booking provider</t>
  </si>
  <si>
    <t>Conflicting information between hotel and booking provider</t>
  </si>
  <si>
    <t>YES - if they accept 15% compensation</t>
  </si>
  <si>
    <t>Ticket | Guest directed to the wrong customer service provider</t>
  </si>
  <si>
    <t>Guest directed to the wrong customer service provider</t>
  </si>
  <si>
    <t>Ask the guest if they can review the charge to confirm who it is from and if it includes a phone number to call. If the guest can not a phone number and would like it reviewed; Please ask the guest to forward their charges to Reservations@HotelPlanner.com, please stay connected to the guest while they send this over and let them know we will have an update in 24 hours. Confirm we have the guests correct email and make sure the notes are accurate and complete.</t>
  </si>
  <si>
    <t>Ticket | Confirmation email not received or went to spam</t>
  </si>
  <si>
    <t>Confirmation email not received or went to spam</t>
  </si>
  <si>
    <t>If the guest needs a copy of their confirmation please confirm their email address and cell phone number to resend them a copy. Confirm it was received before disconnecting the call.</t>
  </si>
  <si>
    <t>Ticket | Delayed or unclear resolution timelines</t>
  </si>
  <si>
    <t>Delayed or unclear resolution timelines</t>
  </si>
  <si>
    <t>If the guest wishes to speak with a manager please ask them to email VIPRES@HotelPlanner.com to contact our Service Managers; please stay connected to the guest while they send this over and let them know we will have an update in 24 hours. Confirm we have the guests correct email and make sure the notes are accurate and complete.</t>
  </si>
  <si>
    <t>Ticket | Incorrect final charges</t>
  </si>
  <si>
    <t>Post Stay Issues</t>
  </si>
  <si>
    <t>Incorrect final charges</t>
  </si>
  <si>
    <t>Advise the guest they can forward the receipt along with their itinerary to Reservations@HotelPlanner.com for review and reimbursement; please stay connected to the guest while they send this over and let them know we will have an update in 24 hours. Confirm we have the guests correct email and make sure the notes are accurate and complete.</t>
  </si>
  <si>
    <t>Ticket | Missing or delayed refunds</t>
  </si>
  <si>
    <t>Missing or delayed refunds</t>
  </si>
  <si>
    <t>Ticket | Disputes over no-show or cancellation fees</t>
  </si>
  <si>
    <t>Disputes over no-show or cancellation fees</t>
  </si>
  <si>
    <t>Provide the guest with the following email to work with the dispute department directly ChargeReview@HotelPlanner.com;  please stay connected to the guest while they send this over and let them know we will have an update in 24 hours. Confirm we have the guests correct email and make sure the notes are accurate and complete.</t>
  </si>
  <si>
    <t>Ticket | Hotel provided internal receipt to guest</t>
  </si>
  <si>
    <t>Hotel provided internal receipt to guest</t>
  </si>
  <si>
    <t>Ask the client to email the receipt to Reservations@HotelPlanner.com;  please stay connected to the guest while they send this over and let them know we will have an update in 24 hours. Confirm we have the guests correct email and make sure the notes are accurate and complete.</t>
  </si>
  <si>
    <t>Ticket | Needs receipt or invoice</t>
  </si>
  <si>
    <t>Needs receipt or invoice</t>
  </si>
  <si>
    <t>If the guest needs a copy of their confirmation please confirm their email address and cell phone number to resend them a copy. Confirm it was received before disconnecting the call. If the guest needs a detailed receipt, breakdown, or tax exempt please open a ticket for them under "Needs Receipt". Let the guest know we will have it completed in 24 hours and emailed over. Confirm we have the guests correct email and make sure the notes are accurate and complete.</t>
  </si>
  <si>
    <t>Yes - Drop Down Option "Needs Receipt" for option 2</t>
  </si>
  <si>
    <t>Ticket | Double Charged</t>
  </si>
  <si>
    <t>Double Charged</t>
  </si>
  <si>
    <t>Please ask the guest to forward their charges to Reservations@HotelPlanner.com, please stay connected to the guest while they send this over and let them know we will have an update in 24 hours. Confirm we have the guests correct email and make sure the notes are accurate and complete.</t>
  </si>
  <si>
    <t>Ticket | Mismatch between listing description and actual property</t>
  </si>
  <si>
    <t>Mismatch between listing description and actual property</t>
  </si>
  <si>
    <t>Please ask the guest to forward their screenshot to Reservations@HotelPlanner.com, please stay connected to the guest while they send this over and let them know we will have an update in 24 hours. Confirm we have the guests correct email and make sure the notes are accurate and complete.</t>
  </si>
  <si>
    <t>Ticket | Early departure after check in  (R and NR)</t>
  </si>
  <si>
    <t>Early departure after check in  (R and NR)</t>
  </si>
  <si>
    <t>1. Ask the guest if the guest notified the property or received approval from the property for early departure. If the guest has a hotel staff name please note it down. 2.Call the hotel and obtain FOC for unused nights, note the booking accurately with the hotel staff member 's name, (if possible) the cancellation number, and the email address for the hotel manager or front desk. If you do not obtain FOC, take down hotel staff member's name and email address for the property. 3. Process a refund via the queue for the client of the unused nights and advise of the refund timeline (2-7 business days).</t>
  </si>
  <si>
    <t>Ticket | Asking for a refund on "REFUND PROTECTION PLAN"</t>
  </si>
  <si>
    <t>Asking for a refund on "REFUND PROTECTION PLAN"</t>
  </si>
  <si>
    <t>If the guest requests for this plan to be cancelled and refunded, please click on void the policy and the refund will be processed automatically. If it's outside the 14 days to select "void" then you will note the booking accurately and process the refund amount only of the RPP in the Refund Queue.</t>
  </si>
  <si>
    <t>CaseKey</t>
  </si>
  <si>
    <t>Ticket Matrix — Important Notes</t>
  </si>
  <si>
    <t>Topic</t>
  </si>
  <si>
    <t>What to QA for</t>
  </si>
  <si>
    <t>Applies to</t>
  </si>
  <si>
    <t>Where to score</t>
  </si>
  <si>
    <t>Comments</t>
  </si>
  <si>
    <t>Back-office workflow</t>
  </si>
  <si>
    <t>Ticket agents do NOT receive inbound calls; quality is measured by correct workflow, documentation, outreach, and matrix compliance.</t>
  </si>
  <si>
    <t>Ticket QA Form</t>
  </si>
  <si>
    <t>When requesting FOC or Partial Unused Rooms</t>
  </si>
  <si>
    <t>You may not always get FOC so if the hotel denies FOC then ask for FOC minus first night penalty on multiple night reservations.</t>
  </si>
  <si>
    <t>Ticket QA Form → Matrix/Procedure/Docs</t>
  </si>
  <si>
    <t>TEAK (Protecht)</t>
  </si>
  <si>
    <t>We will not be removing this when we are processing refunds</t>
  </si>
  <si>
    <t>Ticket Timeline</t>
  </si>
  <si>
    <t>Agents will have 72 hours to resolve an issue, if left unresolved in 72 hours the ticket will be transferred to a view for it to be reviewed and solved in house.</t>
  </si>
  <si>
    <t>If a guest declines service support and uses their own card to rebook themselves</t>
  </si>
  <si>
    <t>Please have them email their receipt to Reservations@HotelPlanner.com to determine if reimbursement is available</t>
  </si>
  <si>
    <t>Any Cancellations</t>
  </si>
  <si>
    <t>We will always offer to rebook the guest</t>
  </si>
  <si>
    <t>If the originial booking was made by a voucher</t>
  </si>
  <si>
    <t>If the booking is made with a voucher: Follow the same instructions for the escalation reason but you will need to ask the channel manager for a voucher to rebook with a new voucher or refund.</t>
  </si>
  <si>
    <t>Ticket QA — Scoring Rubric &amp; Calibration</t>
  </si>
  <si>
    <t>Full Points (Yes)</t>
  </si>
  <si>
    <t>Partial (use Evidence/Notes)</t>
  </si>
  <si>
    <t>Zero (No)</t>
  </si>
  <si>
    <t>Notes</t>
  </si>
  <si>
    <t>Meets ticket-standard expectation described in 'Calibration Checks'.</t>
  </si>
  <si>
    <t>Minor gap but outcome correct; note gap and coaching.</t>
  </si>
  <si>
    <t>Does not meet expectation OR wrong policy/workflow.</t>
  </si>
  <si>
    <t>Matrix item is highest priority when applicable.</t>
  </si>
  <si>
    <t>--- Autofail Parameters ---</t>
  </si>
  <si>
    <t>Any FAIL triggers Autofail.</t>
  </si>
  <si>
    <t>AUTOFAIL</t>
  </si>
  <si>
    <t>Pass</t>
  </si>
  <si>
    <t>Fail</t>
  </si>
  <si>
    <t>Agent Name :</t>
  </si>
  <si>
    <t>Lucelle Copo</t>
  </si>
  <si>
    <t>Record ID : 211222-000149</t>
  </si>
  <si>
    <t>Tenure :</t>
  </si>
  <si>
    <t>91+ Days</t>
  </si>
  <si>
    <t>Transaction Date : 12/26/21</t>
  </si>
  <si>
    <t xml:space="preserve">LOB : </t>
  </si>
  <si>
    <t>Transaction/Email</t>
  </si>
  <si>
    <t>Guest Name/PNR : Jake Weden , RecLoc KRPXSP</t>
  </si>
  <si>
    <t>Supervisor :</t>
  </si>
  <si>
    <t>Feria, Phil Frian Leticia N</t>
  </si>
  <si>
    <t>Sections</t>
  </si>
  <si>
    <t>Scoring</t>
  </si>
  <si>
    <t>Description</t>
  </si>
  <si>
    <t>Client</t>
  </si>
  <si>
    <t>QA</t>
  </si>
  <si>
    <t>OPS</t>
  </si>
  <si>
    <t>Training</t>
  </si>
  <si>
    <t>Transition</t>
  </si>
  <si>
    <t xml:space="preserve">Yes or No 
</t>
  </si>
  <si>
    <t>* Used an appropriate transition from the guest's concern or inquiry when addressing it.
* Used appropriate opening salutation.
* Offered genuine empathy statement when guest provided negative sentiment such as, but not limited to death in the family, website issues, flight delays and negative flight experience, as necessary.</t>
  </si>
  <si>
    <t>Professionalism</t>
  </si>
  <si>
    <t xml:space="preserve">Yes or No </t>
  </si>
  <si>
    <t xml:space="preserve">* Should always convey a professional demeanor and and politeness throughout the interaction. </t>
  </si>
  <si>
    <t>Understanding the guest's concern(s)</t>
  </si>
  <si>
    <t>* Provided appropriate responses
* Clarified unclear questions/information provided by the guest</t>
  </si>
  <si>
    <t>Complete and Accurate Information</t>
  </si>
  <si>
    <t>* Provided complete and accurate information.
* DOT regulations and/or guidelines are properly advised.
* Addressed concern(s) correctly</t>
  </si>
  <si>
    <t>Follows Appropriate Procedure</t>
  </si>
  <si>
    <t>* Sent an email with a short explanation of the issue. 
To determine if it is an INQUIRY, REQUEST or FEEDBACK/COMPLAINT. Include the word "Escalation" in the email subject. (This way, we can prioritize responding to these emails).
* Advised the steps that the agent have already taken to assist the passenger.
* Changed the status to "Escalated" (not Solved) when necessary. 
* Followed the procedures stated in the RNT manual, client instructions and internal directives.   
* Failure to follow through on items promised in the conversation/not completing commitments made
* Incorrect processing of requests that may result to revenue loss, complaint or will affect customer’s reservation.
* Asking and sharing credit card information for new bookings and changes (voluntary flight changes) are prohibited.
Manual booking due web Issue/error – permitted but guest will be referred to call for ticketing.</t>
  </si>
  <si>
    <t>Offering Available Options</t>
  </si>
  <si>
    <t xml:space="preserve">Yes, No, N/A
</t>
  </si>
  <si>
    <t xml:space="preserve">* Offered lower fare, only if applicable.
* Offered different flights, only if applicable
* Offered available options to the customer as to necessity (such as medical waiver and refund if applicable).
* Offered other connecting time for lower rate.
** Guest requested for a flight but not available, agent should ask if they are flexible with the time and date so we can look up other options for them.
</t>
  </si>
  <si>
    <t>Exceeding Expectations</t>
  </si>
  <si>
    <t>Yes, No, N/A</t>
  </si>
  <si>
    <t>*Provided extra mile to resolve guest's concerns
*Commendations proactively given by the guest to the agent for the latter's excellent/assistance.</t>
  </si>
  <si>
    <t>NA</t>
  </si>
  <si>
    <t>Transaction Handling</t>
  </si>
  <si>
    <t xml:space="preserve">Basics
</t>
  </si>
  <si>
    <t>Proper Utilization of Trackers and Tools</t>
  </si>
  <si>
    <t xml:space="preserve">* Used appropriate resources efficiently and effectively (FAQ, SABRE,  Firecastle, HA Email templates, UPAT, etc).
* Sought additional support from Chief Agent/Supervisor/ Deputy Agent, if necessary.
* Must track the transactions real time in Timetree.
</t>
  </si>
  <si>
    <t>Efficiency of Response</t>
  </si>
  <si>
    <t>* Ability to respond to the customer/travel coordinator in a timely manner.
** GENRES – Unresolved/New incidents should be responded within 24 hours.
** HMSC - Unresolved/New incidents should be responded within 24 hours.
** WS – Unresolved/new incidents should be responded within 4 hours.
** REPLY and Escalated Incidents/Cases – should be responded within 24 hours. Anything that will go beyond 24 hours should have corresponding updates to the guest, stating the reason for the delay of completion.
* Adhere to the committed time frame, if provided.
** If our guest sent an email asking for something that we do not have the answer for their inquiry, yet we advise that we have to let them know within the day, the agent should give them the answer within the committed time frame.</t>
  </si>
  <si>
    <t>Sentence Construction</t>
  </si>
  <si>
    <t xml:space="preserve">Yes or No
</t>
  </si>
  <si>
    <t>* Used correct spelling, grammar, punctuation, capitalization, syntax and phrasing. 
* HA brand/product(s) spelled in accordance to brand guidelines.
* Major opportunities in grammar and sentence construction which may affect customer experience.</t>
  </si>
  <si>
    <t>Vocabulary</t>
  </si>
  <si>
    <t>* Willing to assist the guest on emails was evident.
* Never sounded disinterested, blunt, impatient, or reluctant to assist.
* Positive Scripting/Proper choice of words.
* Avoided jargon/s.</t>
  </si>
  <si>
    <t>Use of Templates and Free Text</t>
  </si>
  <si>
    <t>Yes or No</t>
  </si>
  <si>
    <t xml:space="preserve">* Used templates appropriate to the guest's concern.
** The agent will be marked down if he/she was unable to properly provide an explanation that has a template </t>
  </si>
  <si>
    <t>Documentation</t>
  </si>
  <si>
    <t>* Added a Private Note accordingly, especially when endorsing the e-mail to another RNT Line of Business.
* Documented disclosed fees, advisements and escalations as needed.
* Merged Star lines, if applicable.
* Sent an email with a short explanation of the issue.
** Adding remarks on HMDB (Miscellaneous Info) similar to Voice-HMSC Procedures.</t>
  </si>
  <si>
    <t>Autofail Parameters</t>
  </si>
  <si>
    <t xml:space="preserve">Pass or Fail
</t>
  </si>
  <si>
    <t>Pass or Fail</t>
  </si>
  <si>
    <t xml:space="preserve">* Severe misinformation that may result to revenue loss, complaint or will affect customer’s reservation. </t>
  </si>
  <si>
    <t>Total Score</t>
  </si>
  <si>
    <t>None</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</si>
</sst>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Calibri"/>
      <scheme val="minor"/>
    </font>
    <font>
      <b/>
      <sz val="16.0"/>
      <color rgb="FFFFFFFF"/>
      <name val="Calibri"/>
    </font>
    <font/>
    <font>
      <b/>
      <sz val="11.0"/>
      <color theme="1"/>
      <name val="Calibri"/>
    </font>
    <font>
      <sz val="11.0"/>
      <color theme="1"/>
      <name val="Calibri"/>
    </font>
    <font>
      <b/>
      <sz val="12.0"/>
      <color theme="1"/>
      <name val="Calibri"/>
    </font>
    <font>
      <b/>
      <sz val="11.0"/>
      <color rgb="FFFFFFFF"/>
      <name val="Calibri"/>
    </font>
    <font>
      <color theme="1"/>
      <name val="Calibri"/>
      <scheme val="minor"/>
    </font>
  </fonts>
  <fills count="4">
    <fill>
      <patternFill patternType="none"/>
    </fill>
    <fill>
      <patternFill patternType="lightGray"/>
    </fill>
    <fill>
      <patternFill patternType="solid">
        <fgColor rgb="FF1F4E79"/>
        <bgColor rgb="FF1F4E79"/>
      </patternFill>
    </fill>
    <fill>
      <patternFill patternType="solid">
        <fgColor rgb="FFD9E1F2"/>
        <bgColor rgb="FFD9E1F2"/>
      </patternFill>
    </fill>
  </fills>
  <borders count="16">
    <border/>
    <border>
      <left/>
      <top/>
      <bottom/>
    </border>
    <border>
      <top/>
      <bottom/>
    </border>
    <border>
      <right/>
      <top/>
      <bottom/>
    </border>
    <border>
      <left style="thin">
        <color rgb="FF9E9E9E"/>
      </left>
      <right style="thin">
        <color rgb="FF9E9E9E"/>
      </right>
      <top style="thin">
        <color rgb="FF9E9E9E"/>
      </top>
      <bottom style="thin">
        <color rgb="FF9E9E9E"/>
      </bottom>
    </border>
    <border>
      <left style="thin">
        <color rgb="FF9E9E9E"/>
      </left>
      <top style="thin">
        <color rgb="FF9E9E9E"/>
      </top>
      <bottom style="thin">
        <color rgb="FF9E9E9E"/>
      </bottom>
    </border>
    <border>
      <top style="thin">
        <color rgb="FF9E9E9E"/>
      </top>
      <bottom style="thin">
        <color rgb="FF9E9E9E"/>
      </bottom>
    </border>
    <border>
      <right style="thin">
        <color rgb="FF9E9E9E"/>
      </right>
      <top style="thin">
        <color rgb="FF9E9E9E"/>
      </top>
      <bottom style="thin">
        <color rgb="FF9E9E9E"/>
      </bottom>
    </border>
    <border>
      <left style="thin">
        <color rgb="FF9E9E9E"/>
      </left>
      <top style="thin">
        <color rgb="FF9E9E9E"/>
      </top>
    </border>
    <border>
      <top style="thin">
        <color rgb="FF9E9E9E"/>
      </top>
    </border>
    <border>
      <right style="thin">
        <color rgb="FF9E9E9E"/>
      </right>
      <top style="thin">
        <color rgb="FF9E9E9E"/>
      </top>
    </border>
    <border>
      <left style="thin">
        <color rgb="FF9E9E9E"/>
      </left>
    </border>
    <border>
      <right style="thin">
        <color rgb="FF9E9E9E"/>
      </right>
    </border>
    <border>
      <left style="thin">
        <color rgb="FF9E9E9E"/>
      </left>
      <bottom style="thin">
        <color rgb="FF9E9E9E"/>
      </bottom>
    </border>
    <border>
      <bottom style="thin">
        <color rgb="FF9E9E9E"/>
      </bottom>
    </border>
    <border>
      <right style="thin">
        <color rgb="FF9E9E9E"/>
      </right>
      <bottom style="thin">
        <color rgb="FF9E9E9E"/>
      </bottom>
    </border>
  </borders>
  <cellStyleXfs count="1">
    <xf borderId="0" fillId="0" fontId="0" numFmtId="0" applyAlignment="1" applyFont="1"/>
  </cellStyleXfs>
  <cellXfs count="29">
    <xf borderId="0" fillId="0" fontId="0" numFmtId="0" xfId="0" applyAlignment="1" applyFont="1">
      <alignment readingOrder="0" shrinkToFit="0" vertical="bottom" wrapText="0"/>
    </xf>
    <xf borderId="1" fillId="2" fontId="1" numFmtId="0" xfId="0" applyAlignment="1" applyBorder="1" applyFill="1" applyFont="1">
      <alignment horizontal="center" readingOrder="0" vertical="center"/>
    </xf>
    <xf borderId="2" fillId="0" fontId="2" numFmtId="0" xfId="0" applyBorder="1" applyFont="1"/>
    <xf borderId="3" fillId="0" fontId="2" numFmtId="0" xfId="0" applyBorder="1" applyFont="1"/>
    <xf borderId="4" fillId="3" fontId="3" numFmtId="0" xfId="0" applyAlignment="1" applyBorder="1" applyFill="1" applyFont="1">
      <alignment horizontal="center" vertical="center"/>
    </xf>
    <xf borderId="4" fillId="0" fontId="4" numFmtId="0" xfId="0" applyAlignment="1" applyBorder="1" applyFont="1">
      <alignment horizontal="center" vertical="center"/>
    </xf>
    <xf borderId="4" fillId="0" fontId="4" numFmtId="0" xfId="0" applyAlignment="1" applyBorder="1" applyFont="1">
      <alignment shrinkToFit="0" vertical="top" wrapText="1"/>
    </xf>
    <xf borderId="5" fillId="3" fontId="3" numFmtId="0" xfId="0" applyAlignment="1" applyBorder="1" applyFont="1">
      <alignment horizontal="center" vertical="center"/>
    </xf>
    <xf borderId="6" fillId="0" fontId="2" numFmtId="0" xfId="0" applyBorder="1" applyFont="1"/>
    <xf borderId="7" fillId="0" fontId="2" numFmtId="0" xfId="0" applyBorder="1" applyFont="1"/>
    <xf borderId="8" fillId="0" fontId="4" numFmtId="0" xfId="0" applyAlignment="1" applyBorder="1" applyFont="1">
      <alignment shrinkToFit="0" vertical="top" wrapText="1"/>
    </xf>
    <xf borderId="9" fillId="0" fontId="2" numFmtId="0" xfId="0" applyBorder="1" applyFont="1"/>
    <xf borderId="10" fillId="0" fontId="2" numFmtId="0" xfId="0" applyBorder="1" applyFont="1"/>
    <xf borderId="11" fillId="0" fontId="2" numFmtId="0" xfId="0" applyBorder="1" applyFont="1"/>
    <xf borderId="12" fillId="0" fontId="2" numFmtId="0" xfId="0" applyBorder="1" applyFont="1"/>
    <xf borderId="13" fillId="0" fontId="2" numFmtId="0" xfId="0" applyBorder="1" applyFont="1"/>
    <xf borderId="14" fillId="0" fontId="2" numFmtId="0" xfId="0" applyBorder="1" applyFont="1"/>
    <xf borderId="15" fillId="0" fontId="2" numFmtId="0" xfId="0" applyBorder="1" applyFont="1"/>
    <xf borderId="1" fillId="3" fontId="5" numFmtId="0" xfId="0" applyAlignment="1" applyBorder="1" applyFont="1">
      <alignment horizontal="center" vertical="center"/>
    </xf>
    <xf borderId="4" fillId="2" fontId="6" numFmtId="0" xfId="0" applyAlignment="1" applyBorder="1" applyFont="1">
      <alignment horizontal="center" shrinkToFit="0" vertical="center" wrapText="1"/>
    </xf>
    <xf borderId="5" fillId="0" fontId="3" numFmtId="0" xfId="0" applyAlignment="1" applyBorder="1" applyFont="1">
      <alignment horizontal="right" vertical="center"/>
    </xf>
    <xf borderId="4" fillId="0" fontId="3" numFmtId="0" xfId="0" applyAlignment="1" applyBorder="1" applyFont="1">
      <alignment horizontal="center" vertical="center"/>
    </xf>
    <xf borderId="4" fillId="0" fontId="4" numFmtId="0" xfId="0" applyBorder="1" applyFont="1"/>
    <xf borderId="4" fillId="2" fontId="6" numFmtId="0" xfId="0" applyAlignment="1" applyBorder="1" applyFont="1">
      <alignment horizontal="center" shrinkToFit="0" vertical="center" wrapText="1"/>
    </xf>
    <xf borderId="4" fillId="0" fontId="4" numFmtId="0" xfId="0" applyAlignment="1" applyBorder="1" applyFont="1">
      <alignment shrinkToFit="0" vertical="top" wrapText="1"/>
    </xf>
    <xf borderId="0" fillId="0" fontId="3" numFmtId="0" xfId="0" applyFont="1"/>
    <xf borderId="0" fillId="0" fontId="7" numFmtId="0" xfId="0" applyFont="1"/>
    <xf borderId="1" fillId="2" fontId="1" numFmtId="0" xfId="0" applyAlignment="1" applyBorder="1" applyFont="1">
      <alignment horizontal="center" vertical="center"/>
    </xf>
    <xf borderId="4" fillId="3" fontId="3" numFmtId="0" xfId="0" applyAlignment="1" applyBorder="1" applyFont="1">
      <alignment horizontal="center" shrinkToFit="0" vertical="center" wrapText="1"/>
    </xf>
  </cellXfs>
  <cellStyles count="1">
    <cellStyle xfId="0" name="Normal" builtinId="0"/>
  </cellStyles>
  <dxfs count="4">
    <dxf>
      <font/>
      <fill>
        <patternFill patternType="none"/>
      </fill>
      <border/>
    </dxf>
    <dxf>
      <font/>
      <fill>
        <patternFill patternType="solid">
          <fgColor theme="4"/>
          <bgColor theme="4"/>
        </patternFill>
      </fill>
      <border/>
    </dxf>
    <dxf>
      <font/>
      <fill>
        <patternFill patternType="solid">
          <fgColor rgb="FFB8CCE4"/>
          <bgColor rgb="FFB8CCE4"/>
        </patternFill>
      </fill>
      <border/>
    </dxf>
    <dxf>
      <font/>
      <fill>
        <patternFill patternType="solid">
          <fgColor rgb="FFDBE5F1"/>
          <bgColor rgb="FFDBE5F1"/>
        </patternFill>
      </fill>
      <border/>
    </dxf>
  </dxfs>
  <tableStyles count="1">
    <tableStyle count="3" pivot="0" name="Ticket Matrix (Reference)-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I44" displayName="Table_1" name="Table_1" id="1">
  <tableColumns count="9">
    <tableColumn name="Key" id="1"/>
    <tableColumn name="Channel" id="2"/>
    <tableColumn name="Section" id="3"/>
    <tableColumn name="Issue" id="4"/>
    <tableColumn name="Matrix_Instructions" id="5"/>
    <tableColumn name="Slack_Rule" id="6"/>
    <tableColumn name="RefundQueue_Rule" id="7"/>
    <tableColumn name="Ticket_Rule" id="8"/>
    <tableColumn name="Supervisor_Rule" id="9"/>
  </tableColumns>
  <tableStyleInfo name="Ticket Matrix (Reference)-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5.0" topLeftCell="A16" activePane="bottomLeft" state="frozen"/>
      <selection activeCell="B17" sqref="B17" pane="bottomLeft"/>
    </sheetView>
  </sheetViews>
  <sheetFormatPr customHeight="1" defaultColWidth="14.43" defaultRowHeight="15.0"/>
  <cols>
    <col customWidth="1" min="1" max="1" width="16.0"/>
    <col customWidth="1" min="2" max="2" width="18.0"/>
    <col customWidth="1" min="3" max="3" width="34.0"/>
    <col customWidth="1" min="4" max="4" width="7.0"/>
    <col customWidth="1" min="5" max="5" width="14.0"/>
    <col customWidth="1" min="6" max="6" width="7.0"/>
    <col customWidth="1" min="7" max="7" width="30.0"/>
    <col customWidth="1" min="8" max="8" width="32.0"/>
    <col customWidth="1" min="9" max="9" width="42.0"/>
    <col customWidth="1" min="10" max="26" width="8.71"/>
  </cols>
  <sheetData>
    <row r="1" ht="27.75" customHeight="1">
      <c r="A1" s="1" t="s">
        <v>0</v>
      </c>
      <c r="B1" s="2"/>
      <c r="C1" s="2"/>
      <c r="D1" s="2"/>
      <c r="E1" s="2"/>
      <c r="F1" s="2"/>
      <c r="G1" s="2"/>
      <c r="H1" s="2"/>
      <c r="I1" s="3"/>
    </row>
    <row r="3">
      <c r="A3" s="4" t="s">
        <v>1</v>
      </c>
      <c r="B3" s="5"/>
      <c r="D3" s="4" t="s">
        <v>2</v>
      </c>
      <c r="E3" s="6"/>
      <c r="F3" s="7" t="s">
        <v>3</v>
      </c>
      <c r="G3" s="8"/>
      <c r="H3" s="8"/>
      <c r="I3" s="9"/>
    </row>
    <row r="4">
      <c r="A4" s="4" t="s">
        <v>4</v>
      </c>
      <c r="B4" s="5"/>
      <c r="D4" s="4" t="s">
        <v>5</v>
      </c>
      <c r="E4" s="6"/>
      <c r="F4" s="4" t="s">
        <v>6</v>
      </c>
      <c r="G4" s="6" t="str">
        <f t="array" ref="G4">XLOOKUP($E$7,'Ticket Matrix (Reference)'!$A$2:$A$44,'Ticket Matrix (Reference)'!$B$2:$B$44,"")</f>
        <v/>
      </c>
      <c r="H4" s="6"/>
      <c r="I4" s="6"/>
    </row>
    <row r="5">
      <c r="A5" s="4" t="s">
        <v>7</v>
      </c>
      <c r="B5" s="5"/>
      <c r="D5" s="4" t="s">
        <v>8</v>
      </c>
      <c r="E5" s="6"/>
      <c r="F5" s="4" t="s">
        <v>9</v>
      </c>
      <c r="G5" s="6" t="str">
        <f t="array" ref="G5">XLOOKUP($E$7,'Ticket Matrix (Reference)'!$A$2:$A$44,'Ticket Matrix (Reference)'!$C$2:$C$44,"")</f>
        <v/>
      </c>
      <c r="H5" s="6"/>
      <c r="I5" s="6"/>
    </row>
    <row r="6">
      <c r="A6" s="4" t="s">
        <v>10</v>
      </c>
      <c r="B6" s="5"/>
      <c r="D6" s="4" t="s">
        <v>11</v>
      </c>
      <c r="E6" s="6"/>
      <c r="F6" s="4" t="s">
        <v>12</v>
      </c>
      <c r="G6" s="6" t="str">
        <f t="array" ref="G6">XLOOKUP($E$7,'Ticket Matrix (Reference)'!$A$2:$A$44,'Ticket Matrix (Reference)'!$D$2:$D$44,"")</f>
        <v/>
      </c>
      <c r="H6" s="6"/>
      <c r="I6" s="6"/>
    </row>
    <row r="7">
      <c r="A7" s="4" t="s">
        <v>13</v>
      </c>
      <c r="B7" s="5"/>
      <c r="D7" s="4" t="s">
        <v>14</v>
      </c>
      <c r="E7" s="5"/>
      <c r="F7" s="7" t="s">
        <v>15</v>
      </c>
      <c r="G7" s="8"/>
      <c r="H7" s="8"/>
      <c r="I7" s="9"/>
    </row>
    <row r="8">
      <c r="A8" s="4" t="s">
        <v>16</v>
      </c>
      <c r="B8" s="5"/>
      <c r="D8" s="4" t="s">
        <v>17</v>
      </c>
      <c r="E8" s="5" t="s">
        <v>18</v>
      </c>
      <c r="F8" s="10" t="str">
        <f t="array" ref="F8">LET(k,$E$7,inst,XLOOKUP(k,'Ticket Matrix (Reference)'!$A$2:$A$44,'Ticket Matrix (Reference)'!$E$2:$E$44,""),sl,XLOOKUP(k,'Ticket Matrix (Reference)'!$A$2:$A$44,'Ticket Matrix (Reference)'!$F$2:$F$44,""),rq,XLOOKUP(k,'Ticket Matrix (Reference)'!$A$2:$A$44,'Ticket Matrix (Reference)'!$G$2:$G$44,""),tk,XLOOKUP(k,'Ticket Matrix (Reference)'!$A$2:$A$44,'Ticket Matrix (Reference)'!$H$2:$H$44,""),su,XLOOKUP(k,'Ticket Matrix (Reference)'!$A$2:$A$44,'Ticket Matrix (Reference)'!$I$2:$I$44,""),TEXTJOIN(CHAR(10),TRUE,"Instructions: "&amp;inst,"Slack: "&amp;sl,"Refund Queue: "&amp;rq,"Ticket Rule: "&amp;tk,"Supervisor: "&amp;su))</f>
        <v>Instructions: 
Slack: 
Refund Queue: 
Ticket Rule: 
Supervisor: </v>
      </c>
      <c r="G8" s="11"/>
      <c r="H8" s="11"/>
      <c r="I8" s="12"/>
    </row>
    <row r="9">
      <c r="A9" s="4" t="s">
        <v>19</v>
      </c>
      <c r="B9" s="5"/>
      <c r="D9" s="4" t="s">
        <v>20</v>
      </c>
      <c r="E9" s="6"/>
      <c r="F9" s="13"/>
      <c r="I9" s="14"/>
    </row>
    <row r="10">
      <c r="A10" s="4" t="s">
        <v>21</v>
      </c>
      <c r="B10" s="5"/>
      <c r="F10" s="13"/>
      <c r="I10" s="14"/>
    </row>
    <row r="11">
      <c r="F11" s="13"/>
      <c r="I11" s="14"/>
    </row>
    <row r="12">
      <c r="F12" s="15"/>
      <c r="G12" s="16"/>
      <c r="H12" s="16"/>
      <c r="I12" s="17"/>
    </row>
    <row r="14" ht="21.75" customHeight="1">
      <c r="A14" s="18" t="s">
        <v>22</v>
      </c>
      <c r="B14" s="2"/>
      <c r="C14" s="2"/>
      <c r="D14" s="2"/>
      <c r="E14" s="2"/>
      <c r="F14" s="2"/>
      <c r="G14" s="2"/>
      <c r="H14" s="2"/>
      <c r="I14" s="3"/>
    </row>
    <row r="15" ht="36.0" customHeight="1">
      <c r="A15" s="19" t="s">
        <v>9</v>
      </c>
      <c r="B15" s="19" t="s">
        <v>23</v>
      </c>
      <c r="C15" s="19" t="s">
        <v>24</v>
      </c>
      <c r="D15" s="19" t="s">
        <v>25</v>
      </c>
      <c r="E15" s="19" t="s">
        <v>26</v>
      </c>
      <c r="F15" s="19" t="s">
        <v>27</v>
      </c>
      <c r="G15" s="19" t="s">
        <v>28</v>
      </c>
      <c r="H15" s="19" t="s">
        <v>29</v>
      </c>
      <c r="I15" s="19" t="s">
        <v>30</v>
      </c>
    </row>
    <row r="16" ht="61.5" customHeight="1">
      <c r="A16" s="6" t="s">
        <v>31</v>
      </c>
      <c r="B16" s="6" t="s">
        <v>32</v>
      </c>
      <c r="C16" s="6" t="s">
        <v>33</v>
      </c>
      <c r="D16" s="5">
        <v>5.0</v>
      </c>
      <c r="E16" s="5"/>
      <c r="F16" s="5" t="str">
        <f t="shared" ref="F16:F17" si="1">IF(E16="","",IF(E16="No",0,5))</f>
        <v/>
      </c>
      <c r="G16" s="6" t="s">
        <v>34</v>
      </c>
      <c r="H16" s="6"/>
      <c r="I16" s="6"/>
    </row>
    <row r="17" ht="61.5" customHeight="1">
      <c r="A17" s="6" t="s">
        <v>31</v>
      </c>
      <c r="B17" s="6" t="s">
        <v>32</v>
      </c>
      <c r="C17" s="6" t="s">
        <v>35</v>
      </c>
      <c r="D17" s="5">
        <v>5.0</v>
      </c>
      <c r="E17" s="5"/>
      <c r="F17" s="5" t="str">
        <f t="shared" si="1"/>
        <v/>
      </c>
      <c r="G17" s="6" t="s">
        <v>36</v>
      </c>
      <c r="H17" s="6"/>
      <c r="I17" s="6"/>
    </row>
    <row r="18" ht="61.5" customHeight="1">
      <c r="A18" s="6" t="s">
        <v>37</v>
      </c>
      <c r="B18" s="6" t="s">
        <v>38</v>
      </c>
      <c r="C18" s="6" t="s">
        <v>39</v>
      </c>
      <c r="D18" s="5">
        <v>11.0</v>
      </c>
      <c r="E18" s="5"/>
      <c r="F18" s="5" t="str">
        <f t="shared" ref="F18:F20" si="2">IF(E18="","",IF(E18="No",0,11))</f>
        <v/>
      </c>
      <c r="G18" s="6" t="s">
        <v>40</v>
      </c>
      <c r="H18" s="6"/>
      <c r="I18" s="6"/>
    </row>
    <row r="19" ht="61.5" customHeight="1">
      <c r="A19" s="6" t="s">
        <v>37</v>
      </c>
      <c r="B19" s="6" t="s">
        <v>38</v>
      </c>
      <c r="C19" s="6" t="s">
        <v>41</v>
      </c>
      <c r="D19" s="5">
        <v>11.0</v>
      </c>
      <c r="E19" s="5"/>
      <c r="F19" s="5" t="str">
        <f t="shared" si="2"/>
        <v/>
      </c>
      <c r="G19" s="6" t="s">
        <v>42</v>
      </c>
      <c r="H19" s="6"/>
      <c r="I19" s="6"/>
    </row>
    <row r="20" ht="61.5" customHeight="1">
      <c r="A20" s="6" t="s">
        <v>37</v>
      </c>
      <c r="B20" s="6" t="s">
        <v>43</v>
      </c>
      <c r="C20" s="6" t="s">
        <v>44</v>
      </c>
      <c r="D20" s="5">
        <v>11.0</v>
      </c>
      <c r="E20" s="5"/>
      <c r="F20" s="5" t="str">
        <f t="shared" si="2"/>
        <v/>
      </c>
      <c r="G20" s="6" t="s">
        <v>45</v>
      </c>
      <c r="H20" s="6"/>
      <c r="I20" s="6"/>
    </row>
    <row r="21" ht="61.5" customHeight="1">
      <c r="A21" s="6" t="s">
        <v>46</v>
      </c>
      <c r="B21" s="6" t="s">
        <v>47</v>
      </c>
      <c r="C21" s="6" t="s">
        <v>48</v>
      </c>
      <c r="D21" s="5">
        <v>10.0</v>
      </c>
      <c r="E21" s="5"/>
      <c r="F21" s="5" t="str">
        <f>IF(E21="","",IF(E21="No",0,10))</f>
        <v/>
      </c>
      <c r="G21" s="6" t="s">
        <v>49</v>
      </c>
      <c r="H21" s="6"/>
      <c r="I21" s="6"/>
    </row>
    <row r="22" ht="61.5" customHeight="1">
      <c r="A22" s="6" t="s">
        <v>37</v>
      </c>
      <c r="B22" s="6" t="s">
        <v>43</v>
      </c>
      <c r="C22" s="6" t="s">
        <v>50</v>
      </c>
      <c r="D22" s="5">
        <v>5.0</v>
      </c>
      <c r="E22" s="5"/>
      <c r="F22" s="5" t="str">
        <f t="shared" ref="F22:F23" si="3">IF(E22="","",IF(E22="No",0,5))</f>
        <v/>
      </c>
      <c r="G22" s="6" t="s">
        <v>51</v>
      </c>
      <c r="H22" s="6"/>
      <c r="I22" s="6"/>
    </row>
    <row r="23" ht="61.5" customHeight="1">
      <c r="A23" s="6" t="s">
        <v>37</v>
      </c>
      <c r="B23" s="6" t="s">
        <v>43</v>
      </c>
      <c r="C23" s="6" t="s">
        <v>52</v>
      </c>
      <c r="D23" s="5">
        <v>5.0</v>
      </c>
      <c r="E23" s="5"/>
      <c r="F23" s="5" t="str">
        <f t="shared" si="3"/>
        <v/>
      </c>
      <c r="G23" s="6" t="s">
        <v>53</v>
      </c>
      <c r="H23" s="6"/>
      <c r="I23" s="6"/>
    </row>
    <row r="24" ht="61.5" customHeight="1">
      <c r="A24" s="6" t="s">
        <v>37</v>
      </c>
      <c r="B24" s="6" t="s">
        <v>54</v>
      </c>
      <c r="C24" s="6" t="s">
        <v>55</v>
      </c>
      <c r="D24" s="5">
        <v>11.0</v>
      </c>
      <c r="E24" s="5"/>
      <c r="F24" s="5" t="str">
        <f t="shared" ref="F24:F25" si="4">IF(E24="","",IF(E24="No",0,11))</f>
        <v/>
      </c>
      <c r="G24" s="6" t="s">
        <v>56</v>
      </c>
      <c r="H24" s="6"/>
      <c r="I24" s="6"/>
    </row>
    <row r="25" ht="61.5" customHeight="1">
      <c r="A25" s="6" t="s">
        <v>37</v>
      </c>
      <c r="B25" s="6" t="s">
        <v>54</v>
      </c>
      <c r="C25" s="6" t="s">
        <v>57</v>
      </c>
      <c r="D25" s="5">
        <v>11.0</v>
      </c>
      <c r="E25" s="5"/>
      <c r="F25" s="5" t="str">
        <f t="shared" si="4"/>
        <v/>
      </c>
      <c r="G25" s="6" t="s">
        <v>58</v>
      </c>
      <c r="H25" s="6"/>
      <c r="I25" s="6"/>
    </row>
    <row r="26" ht="61.5" customHeight="1">
      <c r="A26" s="6" t="s">
        <v>37</v>
      </c>
      <c r="B26" s="6" t="s">
        <v>43</v>
      </c>
      <c r="C26" s="6" t="s">
        <v>59</v>
      </c>
      <c r="D26" s="5">
        <v>5.0</v>
      </c>
      <c r="E26" s="5"/>
      <c r="F26" s="5" t="str">
        <f t="shared" ref="F26:F28" si="5">IF(E26="","",IF(E26="No",0,5))</f>
        <v/>
      </c>
      <c r="G26" s="6" t="s">
        <v>60</v>
      </c>
      <c r="H26" s="6"/>
      <c r="I26" s="6"/>
    </row>
    <row r="27" ht="61.5" customHeight="1">
      <c r="A27" s="6" t="s">
        <v>37</v>
      </c>
      <c r="B27" s="6" t="s">
        <v>43</v>
      </c>
      <c r="C27" s="6" t="s">
        <v>61</v>
      </c>
      <c r="D27" s="5">
        <v>5.0</v>
      </c>
      <c r="E27" s="5"/>
      <c r="F27" s="5" t="str">
        <f t="shared" si="5"/>
        <v/>
      </c>
      <c r="G27" s="6" t="s">
        <v>62</v>
      </c>
      <c r="H27" s="6"/>
      <c r="I27" s="6"/>
    </row>
    <row r="28" ht="61.5" customHeight="1">
      <c r="A28" s="6" t="s">
        <v>37</v>
      </c>
      <c r="B28" s="6" t="s">
        <v>63</v>
      </c>
      <c r="C28" s="6" t="s">
        <v>64</v>
      </c>
      <c r="D28" s="5">
        <v>5.0</v>
      </c>
      <c r="E28" s="5"/>
      <c r="F28" s="5" t="str">
        <f t="shared" si="5"/>
        <v/>
      </c>
      <c r="G28" s="6" t="s">
        <v>65</v>
      </c>
      <c r="H28" s="6"/>
      <c r="I28" s="6"/>
    </row>
    <row r="29" ht="21.75" customHeight="1">
      <c r="A29" s="18" t="s">
        <v>66</v>
      </c>
      <c r="B29" s="2"/>
      <c r="C29" s="2"/>
      <c r="D29" s="2"/>
      <c r="E29" s="2"/>
      <c r="F29" s="2"/>
      <c r="G29" s="2"/>
      <c r="H29" s="2"/>
      <c r="I29" s="3"/>
    </row>
    <row r="30" ht="61.5" customHeight="1">
      <c r="A30" s="5" t="s">
        <v>67</v>
      </c>
      <c r="B30" s="5" t="s">
        <v>47</v>
      </c>
      <c r="C30" s="6" t="s">
        <v>68</v>
      </c>
      <c r="D30" s="5" t="s">
        <v>69</v>
      </c>
      <c r="E30" s="5"/>
      <c r="F30" s="5" t="str">
        <f t="shared" ref="F30:F33" si="6">IF(E30="","",IF(E30="Fail",0,0))</f>
        <v/>
      </c>
      <c r="G30" s="6" t="s">
        <v>70</v>
      </c>
      <c r="H30" s="6"/>
      <c r="I30" s="6" t="s">
        <v>71</v>
      </c>
    </row>
    <row r="31" ht="61.5" customHeight="1">
      <c r="A31" s="5" t="s">
        <v>67</v>
      </c>
      <c r="B31" s="5" t="s">
        <v>47</v>
      </c>
      <c r="C31" s="6" t="s">
        <v>72</v>
      </c>
      <c r="D31" s="5" t="s">
        <v>69</v>
      </c>
      <c r="E31" s="5"/>
      <c r="F31" s="5" t="str">
        <f t="shared" si="6"/>
        <v/>
      </c>
      <c r="G31" s="6" t="s">
        <v>70</v>
      </c>
      <c r="H31" s="6"/>
      <c r="I31" s="6" t="s">
        <v>73</v>
      </c>
    </row>
    <row r="32" ht="61.5" customHeight="1">
      <c r="A32" s="5" t="s">
        <v>67</v>
      </c>
      <c r="B32" s="5" t="s">
        <v>47</v>
      </c>
      <c r="C32" s="6" t="s">
        <v>74</v>
      </c>
      <c r="D32" s="5" t="s">
        <v>69</v>
      </c>
      <c r="E32" s="5"/>
      <c r="F32" s="5" t="str">
        <f t="shared" si="6"/>
        <v/>
      </c>
      <c r="G32" s="6" t="s">
        <v>70</v>
      </c>
      <c r="H32" s="6"/>
      <c r="I32" s="6" t="s">
        <v>75</v>
      </c>
    </row>
    <row r="33" ht="61.5" customHeight="1">
      <c r="A33" s="5" t="s">
        <v>67</v>
      </c>
      <c r="B33" s="5" t="s">
        <v>47</v>
      </c>
      <c r="C33" s="6" t="s">
        <v>76</v>
      </c>
      <c r="D33" s="5" t="s">
        <v>69</v>
      </c>
      <c r="E33" s="5"/>
      <c r="F33" s="5" t="str">
        <f t="shared" si="6"/>
        <v/>
      </c>
      <c r="G33" s="6" t="s">
        <v>70</v>
      </c>
      <c r="H33" s="6"/>
      <c r="I33" s="6" t="s">
        <v>77</v>
      </c>
    </row>
    <row r="34" ht="15.75" customHeight="1"/>
    <row r="35" ht="21.75" customHeight="1">
      <c r="A35" s="20" t="s">
        <v>78</v>
      </c>
      <c r="B35" s="8"/>
      <c r="C35" s="9"/>
      <c r="D35" s="21">
        <v>100.0</v>
      </c>
      <c r="E35" s="22"/>
      <c r="F35" s="21">
        <f>IF($E$8="Yes",0,IF(COUNTIF(E30:E33,"Fail")&gt;0,0,SUM(F16,F17,F18,F19,F20,F21,F22,F23,F24,F25,F26,F27,F28)))</f>
        <v>0</v>
      </c>
      <c r="G35" s="20" t="s">
        <v>79</v>
      </c>
      <c r="H35" s="9"/>
      <c r="I35" s="21" t="str">
        <f>IF($E$8="Yes","FAIL (Critical Error)",IF(COUNTIF(E30:E33,"Fail")&gt;0,"AUTOFAIL",IF($F$35&gt;=90,"PASS",IF($F$35&gt;=80,"PASS (Coaching)","FAIL"))))</f>
        <v>FAIL</v>
      </c>
    </row>
    <row r="36" ht="15.75" customHeight="1"/>
    <row r="37" ht="21.75" customHeight="1">
      <c r="A37" s="18" t="s">
        <v>80</v>
      </c>
      <c r="B37" s="2"/>
      <c r="C37" s="2"/>
      <c r="D37" s="2"/>
      <c r="E37" s="2"/>
      <c r="F37" s="2"/>
      <c r="G37" s="2"/>
      <c r="H37" s="2"/>
      <c r="I37" s="3"/>
    </row>
    <row r="38" ht="21.75" customHeight="1">
      <c r="A38" s="10"/>
      <c r="B38" s="11"/>
      <c r="C38" s="11"/>
      <c r="D38" s="11"/>
      <c r="E38" s="11"/>
      <c r="F38" s="11"/>
      <c r="G38" s="11"/>
      <c r="H38" s="11"/>
      <c r="I38" s="12"/>
    </row>
    <row r="39" ht="21.75" customHeight="1">
      <c r="A39" s="13"/>
      <c r="I39" s="14"/>
    </row>
    <row r="40" ht="21.75" customHeight="1">
      <c r="A40" s="13"/>
      <c r="I40" s="14"/>
    </row>
    <row r="41" ht="21.75" customHeight="1">
      <c r="A41" s="13"/>
      <c r="I41" s="14"/>
    </row>
    <row r="42" ht="21.75" customHeight="1">
      <c r="A42" s="13"/>
      <c r="I42" s="14"/>
    </row>
    <row r="43" ht="21.75" customHeight="1">
      <c r="A43" s="15"/>
      <c r="B43" s="16"/>
      <c r="C43" s="16"/>
      <c r="D43" s="16"/>
      <c r="E43" s="16"/>
      <c r="F43" s="16"/>
      <c r="G43" s="16"/>
      <c r="H43" s="16"/>
      <c r="I43" s="17"/>
    </row>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0">
    <mergeCell ref="A35:C35"/>
    <mergeCell ref="A37:I37"/>
    <mergeCell ref="A38:I43"/>
    <mergeCell ref="A1:I1"/>
    <mergeCell ref="F3:I3"/>
    <mergeCell ref="F7:I7"/>
    <mergeCell ref="F8:I12"/>
    <mergeCell ref="A14:I14"/>
    <mergeCell ref="A29:I29"/>
    <mergeCell ref="G35:H35"/>
  </mergeCells>
  <dataValidations>
    <dataValidation type="list" allowBlank="1" sqref="E9">
      <formula1>"Policy misinformation,Work avoidance,Incorrect documentation,Security/fraud miss,DOT advisement miss,Other"</formula1>
    </dataValidation>
    <dataValidation type="list" allowBlank="1" sqref="E30:E33">
      <formula1>"Pass,Fail"</formula1>
    </dataValidation>
    <dataValidation type="list" allowBlank="1" sqref="E22:E23">
      <formula1>"Yes,No,N/A"</formula1>
    </dataValidation>
    <dataValidation type="list" allowBlank="1" sqref="E8">
      <formula1>"No,Yes"</formula1>
    </dataValidation>
    <dataValidation type="list" allowBlank="1" sqref="E16:E21 E24:E28">
      <formula1>"Yes,No"</formula1>
    </dataValidation>
  </dataValidation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34.0"/>
    <col customWidth="1" min="2" max="2" width="10.0"/>
    <col customWidth="1" min="3" max="3" width="24.0"/>
    <col customWidth="1" min="4" max="4" width="38.0"/>
    <col customWidth="1" min="5" max="5" width="60.0"/>
    <col customWidth="1" min="6" max="6" width="30.0"/>
    <col customWidth="1" min="7" max="7" width="24.0"/>
    <col customWidth="1" min="8" max="9" width="18.0"/>
    <col customWidth="1" min="10" max="26" width="8.71"/>
  </cols>
  <sheetData>
    <row r="1">
      <c r="A1" s="23" t="s">
        <v>81</v>
      </c>
      <c r="B1" s="23" t="s">
        <v>6</v>
      </c>
      <c r="C1" s="23" t="s">
        <v>9</v>
      </c>
      <c r="D1" s="23" t="s">
        <v>12</v>
      </c>
      <c r="E1" s="23" t="s">
        <v>82</v>
      </c>
      <c r="F1" s="23" t="s">
        <v>83</v>
      </c>
      <c r="G1" s="23" t="s">
        <v>84</v>
      </c>
      <c r="H1" s="23" t="s">
        <v>85</v>
      </c>
      <c r="I1" s="23" t="s">
        <v>86</v>
      </c>
    </row>
    <row r="2" ht="60.0" customHeight="1">
      <c r="A2" s="24" t="s">
        <v>87</v>
      </c>
      <c r="B2" s="24" t="s">
        <v>88</v>
      </c>
      <c r="C2" s="24" t="s">
        <v>89</v>
      </c>
      <c r="D2" s="24" t="s">
        <v>90</v>
      </c>
      <c r="E2" s="24" t="s">
        <v>91</v>
      </c>
      <c r="F2" s="24" t="s">
        <v>92</v>
      </c>
      <c r="G2" s="24" t="s">
        <v>93</v>
      </c>
      <c r="H2" s="24" t="s">
        <v>94</v>
      </c>
      <c r="I2" s="24" t="s">
        <v>95</v>
      </c>
    </row>
    <row r="3" ht="60.0" customHeight="1">
      <c r="A3" s="24" t="s">
        <v>96</v>
      </c>
      <c r="B3" s="24" t="s">
        <v>88</v>
      </c>
      <c r="C3" s="24" t="s">
        <v>89</v>
      </c>
      <c r="D3" s="24" t="s">
        <v>97</v>
      </c>
      <c r="E3" s="24" t="s">
        <v>98</v>
      </c>
      <c r="F3" s="24" t="s">
        <v>92</v>
      </c>
      <c r="G3" s="24" t="s">
        <v>93</v>
      </c>
      <c r="H3" s="24" t="s">
        <v>94</v>
      </c>
      <c r="I3" s="24" t="s">
        <v>99</v>
      </c>
    </row>
    <row r="4" ht="60.0" customHeight="1">
      <c r="A4" s="24" t="s">
        <v>100</v>
      </c>
      <c r="B4" s="24" t="s">
        <v>88</v>
      </c>
      <c r="C4" s="24" t="s">
        <v>89</v>
      </c>
      <c r="D4" s="24" t="s">
        <v>101</v>
      </c>
      <c r="E4" s="24" t="s">
        <v>102</v>
      </c>
      <c r="F4" s="24" t="s">
        <v>92</v>
      </c>
      <c r="G4" s="24" t="s">
        <v>93</v>
      </c>
      <c r="H4" s="24" t="s">
        <v>94</v>
      </c>
      <c r="I4" s="24" t="s">
        <v>18</v>
      </c>
    </row>
    <row r="5" ht="60.0" customHeight="1">
      <c r="A5" s="24" t="s">
        <v>103</v>
      </c>
      <c r="B5" s="24" t="s">
        <v>88</v>
      </c>
      <c r="C5" s="24" t="s">
        <v>89</v>
      </c>
      <c r="D5" s="24" t="s">
        <v>104</v>
      </c>
      <c r="E5" s="24" t="s">
        <v>105</v>
      </c>
      <c r="F5" s="24" t="s">
        <v>92</v>
      </c>
      <c r="G5" s="24" t="s">
        <v>93</v>
      </c>
      <c r="H5" s="24" t="s">
        <v>94</v>
      </c>
      <c r="I5" s="24" t="s">
        <v>18</v>
      </c>
    </row>
    <row r="6" ht="60.0" customHeight="1">
      <c r="A6" s="24" t="s">
        <v>106</v>
      </c>
      <c r="B6" s="24" t="s">
        <v>88</v>
      </c>
      <c r="C6" s="24" t="s">
        <v>89</v>
      </c>
      <c r="D6" s="24" t="s">
        <v>107</v>
      </c>
      <c r="E6" s="24" t="s">
        <v>108</v>
      </c>
      <c r="F6" s="24" t="s">
        <v>92</v>
      </c>
      <c r="G6" s="24" t="s">
        <v>93</v>
      </c>
      <c r="H6" s="24" t="s">
        <v>94</v>
      </c>
      <c r="I6" s="24" t="s">
        <v>95</v>
      </c>
    </row>
    <row r="7" ht="60.0" customHeight="1">
      <c r="A7" s="24" t="s">
        <v>109</v>
      </c>
      <c r="B7" s="24" t="s">
        <v>88</v>
      </c>
      <c r="C7" s="24" t="s">
        <v>89</v>
      </c>
      <c r="D7" s="24" t="s">
        <v>110</v>
      </c>
      <c r="E7" s="24" t="s">
        <v>111</v>
      </c>
      <c r="F7" s="24" t="s">
        <v>112</v>
      </c>
      <c r="G7" s="24" t="s">
        <v>93</v>
      </c>
      <c r="H7" s="24" t="s">
        <v>94</v>
      </c>
      <c r="I7" s="24" t="s">
        <v>113</v>
      </c>
    </row>
    <row r="8" ht="60.0" customHeight="1">
      <c r="A8" s="24" t="s">
        <v>114</v>
      </c>
      <c r="B8" s="24" t="s">
        <v>88</v>
      </c>
      <c r="C8" s="24" t="s">
        <v>89</v>
      </c>
      <c r="D8" s="24" t="s">
        <v>115</v>
      </c>
      <c r="E8" s="24" t="s">
        <v>116</v>
      </c>
      <c r="F8" s="24" t="s">
        <v>92</v>
      </c>
      <c r="G8" s="24" t="s">
        <v>93</v>
      </c>
      <c r="H8" s="24" t="s">
        <v>94</v>
      </c>
      <c r="I8" s="24" t="s">
        <v>113</v>
      </c>
    </row>
    <row r="9" ht="60.0" customHeight="1">
      <c r="A9" s="24" t="s">
        <v>117</v>
      </c>
      <c r="B9" s="24" t="s">
        <v>88</v>
      </c>
      <c r="C9" s="24" t="s">
        <v>89</v>
      </c>
      <c r="D9" s="24" t="s">
        <v>118</v>
      </c>
      <c r="E9" s="24" t="s">
        <v>119</v>
      </c>
      <c r="F9" s="24" t="s">
        <v>113</v>
      </c>
      <c r="G9" s="24" t="s">
        <v>120</v>
      </c>
      <c r="H9" s="24" t="s">
        <v>94</v>
      </c>
      <c r="I9" s="24" t="s">
        <v>113</v>
      </c>
    </row>
    <row r="10" ht="60.0" customHeight="1">
      <c r="A10" s="24" t="s">
        <v>121</v>
      </c>
      <c r="B10" s="24" t="s">
        <v>88</v>
      </c>
      <c r="C10" s="24" t="s">
        <v>89</v>
      </c>
      <c r="D10" s="24" t="s">
        <v>122</v>
      </c>
      <c r="E10" s="24" t="s">
        <v>123</v>
      </c>
      <c r="F10" s="24" t="s">
        <v>113</v>
      </c>
      <c r="G10" s="24" t="s">
        <v>113</v>
      </c>
      <c r="H10" s="24" t="s">
        <v>94</v>
      </c>
      <c r="I10" s="24" t="s">
        <v>113</v>
      </c>
    </row>
    <row r="11" ht="60.0" customHeight="1">
      <c r="A11" s="24" t="s">
        <v>124</v>
      </c>
      <c r="B11" s="24" t="s">
        <v>88</v>
      </c>
      <c r="C11" s="24" t="s">
        <v>89</v>
      </c>
      <c r="D11" s="24" t="s">
        <v>125</v>
      </c>
      <c r="E11" s="24" t="s">
        <v>126</v>
      </c>
      <c r="F11" s="24" t="s">
        <v>113</v>
      </c>
      <c r="G11" s="24" t="s">
        <v>120</v>
      </c>
      <c r="H11" s="24" t="s">
        <v>94</v>
      </c>
      <c r="I11" s="24" t="s">
        <v>113</v>
      </c>
    </row>
    <row r="12" ht="60.0" customHeight="1">
      <c r="A12" s="24" t="s">
        <v>127</v>
      </c>
      <c r="B12" s="24" t="s">
        <v>88</v>
      </c>
      <c r="C12" s="24" t="s">
        <v>89</v>
      </c>
      <c r="D12" s="24" t="s">
        <v>128</v>
      </c>
      <c r="E12" s="24" t="s">
        <v>129</v>
      </c>
      <c r="F12" s="24" t="s">
        <v>113</v>
      </c>
      <c r="G12" s="24" t="s">
        <v>120</v>
      </c>
      <c r="H12" s="24" t="s">
        <v>94</v>
      </c>
      <c r="I12" s="24" t="s">
        <v>113</v>
      </c>
    </row>
    <row r="13" ht="60.0" customHeight="1">
      <c r="A13" s="24" t="s">
        <v>130</v>
      </c>
      <c r="B13" s="24" t="s">
        <v>88</v>
      </c>
      <c r="C13" s="24" t="s">
        <v>89</v>
      </c>
      <c r="D13" s="24" t="s">
        <v>131</v>
      </c>
      <c r="E13" s="24" t="s">
        <v>129</v>
      </c>
      <c r="F13" s="24" t="s">
        <v>113</v>
      </c>
      <c r="G13" s="24" t="s">
        <v>120</v>
      </c>
      <c r="H13" s="24" t="s">
        <v>94</v>
      </c>
      <c r="I13" s="24" t="s">
        <v>113</v>
      </c>
    </row>
    <row r="14" ht="60.0" customHeight="1">
      <c r="A14" s="24" t="s">
        <v>132</v>
      </c>
      <c r="B14" s="24" t="s">
        <v>88</v>
      </c>
      <c r="C14" s="24" t="s">
        <v>89</v>
      </c>
      <c r="D14" s="24" t="s">
        <v>133</v>
      </c>
      <c r="E14" s="24" t="s">
        <v>134</v>
      </c>
      <c r="F14" s="24" t="s">
        <v>113</v>
      </c>
      <c r="G14" s="24" t="s">
        <v>120</v>
      </c>
      <c r="H14" s="24" t="s">
        <v>94</v>
      </c>
      <c r="I14" s="24" t="s">
        <v>113</v>
      </c>
    </row>
    <row r="15" ht="60.0" customHeight="1">
      <c r="A15" s="24" t="s">
        <v>135</v>
      </c>
      <c r="B15" s="24" t="s">
        <v>88</v>
      </c>
      <c r="C15" s="24" t="s">
        <v>89</v>
      </c>
      <c r="D15" s="24" t="s">
        <v>136</v>
      </c>
      <c r="E15" s="24" t="s">
        <v>137</v>
      </c>
      <c r="F15" s="24" t="s">
        <v>113</v>
      </c>
      <c r="G15" s="24" t="s">
        <v>95</v>
      </c>
      <c r="H15" s="24" t="s">
        <v>94</v>
      </c>
      <c r="I15" s="24" t="s">
        <v>113</v>
      </c>
    </row>
    <row r="16" ht="60.0" customHeight="1">
      <c r="A16" s="24" t="s">
        <v>138</v>
      </c>
      <c r="B16" s="24" t="s">
        <v>88</v>
      </c>
      <c r="C16" s="24" t="s">
        <v>89</v>
      </c>
      <c r="D16" s="24" t="s">
        <v>139</v>
      </c>
      <c r="E16" s="24" t="s">
        <v>140</v>
      </c>
      <c r="F16" s="24" t="s">
        <v>141</v>
      </c>
      <c r="G16" s="24" t="s">
        <v>93</v>
      </c>
      <c r="H16" s="24" t="s">
        <v>94</v>
      </c>
      <c r="I16" s="24" t="s">
        <v>113</v>
      </c>
    </row>
    <row r="17" ht="60.0" customHeight="1">
      <c r="A17" s="24" t="s">
        <v>142</v>
      </c>
      <c r="B17" s="24" t="s">
        <v>88</v>
      </c>
      <c r="C17" s="24" t="s">
        <v>89</v>
      </c>
      <c r="D17" s="24" t="s">
        <v>143</v>
      </c>
      <c r="E17" s="24" t="s">
        <v>129</v>
      </c>
      <c r="F17" s="24" t="s">
        <v>113</v>
      </c>
      <c r="G17" s="24" t="s">
        <v>120</v>
      </c>
      <c r="H17" s="24" t="s">
        <v>94</v>
      </c>
      <c r="I17" s="24" t="s">
        <v>113</v>
      </c>
    </row>
    <row r="18" ht="60.0" customHeight="1">
      <c r="A18" s="24" t="s">
        <v>144</v>
      </c>
      <c r="B18" s="24" t="s">
        <v>88</v>
      </c>
      <c r="C18" s="24" t="s">
        <v>89</v>
      </c>
      <c r="D18" s="24" t="s">
        <v>145</v>
      </c>
      <c r="E18" s="24" t="s">
        <v>129</v>
      </c>
      <c r="F18" s="24" t="s">
        <v>113</v>
      </c>
      <c r="G18" s="24" t="s">
        <v>120</v>
      </c>
      <c r="H18" s="24" t="s">
        <v>94</v>
      </c>
      <c r="I18" s="24" t="s">
        <v>113</v>
      </c>
    </row>
    <row r="19" ht="60.0" customHeight="1">
      <c r="A19" s="24" t="s">
        <v>146</v>
      </c>
      <c r="B19" s="24" t="s">
        <v>88</v>
      </c>
      <c r="C19" s="24" t="s">
        <v>89</v>
      </c>
      <c r="D19" s="24" t="s">
        <v>147</v>
      </c>
      <c r="E19" s="24" t="s">
        <v>148</v>
      </c>
      <c r="F19" s="24" t="s">
        <v>95</v>
      </c>
      <c r="G19" s="24" t="s">
        <v>113</v>
      </c>
      <c r="H19" s="24" t="s">
        <v>149</v>
      </c>
      <c r="I19" s="24" t="s">
        <v>113</v>
      </c>
    </row>
    <row r="20" ht="60.0" customHeight="1">
      <c r="A20" s="24" t="s">
        <v>150</v>
      </c>
      <c r="B20" s="24" t="s">
        <v>88</v>
      </c>
      <c r="C20" s="24" t="s">
        <v>89</v>
      </c>
      <c r="D20" s="24" t="s">
        <v>151</v>
      </c>
      <c r="E20" s="24" t="s">
        <v>129</v>
      </c>
      <c r="F20" s="24" t="s">
        <v>113</v>
      </c>
      <c r="G20" s="24" t="s">
        <v>120</v>
      </c>
      <c r="H20" s="24" t="s">
        <v>94</v>
      </c>
      <c r="I20" s="24" t="s">
        <v>113</v>
      </c>
    </row>
    <row r="21" ht="60.0" customHeight="1">
      <c r="A21" s="24" t="s">
        <v>152</v>
      </c>
      <c r="B21" s="24" t="s">
        <v>88</v>
      </c>
      <c r="C21" s="24" t="s">
        <v>89</v>
      </c>
      <c r="D21" s="24" t="s">
        <v>153</v>
      </c>
      <c r="E21" s="24" t="s">
        <v>154</v>
      </c>
      <c r="F21" s="24" t="s">
        <v>113</v>
      </c>
      <c r="G21" s="24" t="s">
        <v>120</v>
      </c>
      <c r="H21" s="24" t="s">
        <v>94</v>
      </c>
      <c r="I21" s="24" t="s">
        <v>113</v>
      </c>
    </row>
    <row r="22" ht="60.0" customHeight="1">
      <c r="A22" s="24" t="s">
        <v>155</v>
      </c>
      <c r="B22" s="24" t="s">
        <v>88</v>
      </c>
      <c r="C22" s="24" t="s">
        <v>89</v>
      </c>
      <c r="D22" s="24" t="s">
        <v>156</v>
      </c>
      <c r="E22" s="24" t="s">
        <v>129</v>
      </c>
      <c r="F22" s="24" t="s">
        <v>113</v>
      </c>
      <c r="G22" s="24" t="s">
        <v>120</v>
      </c>
      <c r="H22" s="24" t="s">
        <v>94</v>
      </c>
      <c r="I22" s="24" t="s">
        <v>113</v>
      </c>
    </row>
    <row r="23" ht="60.0" customHeight="1">
      <c r="A23" s="24" t="s">
        <v>157</v>
      </c>
      <c r="B23" s="24" t="s">
        <v>88</v>
      </c>
      <c r="C23" s="24" t="s">
        <v>89</v>
      </c>
      <c r="D23" s="24" t="s">
        <v>158</v>
      </c>
      <c r="E23" s="24" t="s">
        <v>159</v>
      </c>
      <c r="F23" s="24" t="s">
        <v>113</v>
      </c>
      <c r="G23" s="24" t="s">
        <v>95</v>
      </c>
      <c r="H23" s="24" t="s">
        <v>94</v>
      </c>
      <c r="I23" s="24" t="s">
        <v>113</v>
      </c>
    </row>
    <row r="24" ht="60.0" customHeight="1">
      <c r="A24" s="24" t="s">
        <v>160</v>
      </c>
      <c r="B24" s="24" t="s">
        <v>88</v>
      </c>
      <c r="C24" s="24" t="s">
        <v>89</v>
      </c>
      <c r="D24" s="24" t="s">
        <v>161</v>
      </c>
      <c r="E24" s="24" t="s">
        <v>162</v>
      </c>
      <c r="F24" s="24" t="s">
        <v>113</v>
      </c>
      <c r="G24" s="24" t="s">
        <v>93</v>
      </c>
      <c r="H24" s="24" t="s">
        <v>94</v>
      </c>
      <c r="I24" s="24" t="s">
        <v>113</v>
      </c>
    </row>
    <row r="25" ht="60.0" customHeight="1">
      <c r="A25" s="24" t="s">
        <v>163</v>
      </c>
      <c r="B25" s="24" t="s">
        <v>88</v>
      </c>
      <c r="C25" s="24" t="s">
        <v>89</v>
      </c>
      <c r="D25" s="24" t="s">
        <v>164</v>
      </c>
      <c r="E25" s="24" t="s">
        <v>165</v>
      </c>
      <c r="F25" s="24" t="s">
        <v>95</v>
      </c>
      <c r="G25" s="24" t="s">
        <v>113</v>
      </c>
      <c r="H25" s="24" t="s">
        <v>94</v>
      </c>
      <c r="I25" s="24" t="s">
        <v>95</v>
      </c>
    </row>
    <row r="26" ht="60.0" customHeight="1">
      <c r="A26" s="24" t="s">
        <v>166</v>
      </c>
      <c r="B26" s="24" t="s">
        <v>88</v>
      </c>
      <c r="C26" s="24" t="s">
        <v>167</v>
      </c>
      <c r="D26" s="24" t="s">
        <v>168</v>
      </c>
      <c r="E26" s="24" t="s">
        <v>169</v>
      </c>
      <c r="F26" s="24" t="s">
        <v>18</v>
      </c>
      <c r="G26" s="24" t="s">
        <v>18</v>
      </c>
      <c r="H26" s="24" t="s">
        <v>170</v>
      </c>
      <c r="I26" s="24" t="s">
        <v>18</v>
      </c>
    </row>
    <row r="27" ht="60.0" customHeight="1">
      <c r="A27" s="24" t="s">
        <v>171</v>
      </c>
      <c r="B27" s="24" t="s">
        <v>88</v>
      </c>
      <c r="C27" s="24" t="s">
        <v>167</v>
      </c>
      <c r="D27" s="24" t="s">
        <v>172</v>
      </c>
      <c r="E27" s="24" t="s">
        <v>173</v>
      </c>
      <c r="F27" s="24" t="s">
        <v>18</v>
      </c>
      <c r="G27" s="24" t="s">
        <v>18</v>
      </c>
      <c r="H27" s="24" t="s">
        <v>174</v>
      </c>
      <c r="I27" s="24" t="s">
        <v>18</v>
      </c>
    </row>
    <row r="28" ht="60.0" customHeight="1">
      <c r="A28" s="24" t="s">
        <v>175</v>
      </c>
      <c r="B28" s="24" t="s">
        <v>88</v>
      </c>
      <c r="C28" s="24" t="s">
        <v>167</v>
      </c>
      <c r="D28" s="24" t="s">
        <v>176</v>
      </c>
      <c r="E28" s="24" t="s">
        <v>177</v>
      </c>
      <c r="F28" s="24" t="s">
        <v>99</v>
      </c>
      <c r="G28" s="24" t="s">
        <v>18</v>
      </c>
      <c r="H28" s="24" t="s">
        <v>94</v>
      </c>
      <c r="I28" s="24" t="s">
        <v>18</v>
      </c>
    </row>
    <row r="29" ht="60.0" customHeight="1">
      <c r="A29" s="24" t="s">
        <v>178</v>
      </c>
      <c r="B29" s="24" t="s">
        <v>88</v>
      </c>
      <c r="C29" s="24" t="s">
        <v>167</v>
      </c>
      <c r="D29" s="24" t="s">
        <v>179</v>
      </c>
      <c r="E29" s="24" t="s">
        <v>180</v>
      </c>
      <c r="F29" s="24" t="s">
        <v>113</v>
      </c>
      <c r="G29" s="24" t="s">
        <v>113</v>
      </c>
      <c r="H29" s="24" t="s">
        <v>94</v>
      </c>
      <c r="I29" s="24" t="s">
        <v>113</v>
      </c>
    </row>
    <row r="30" ht="60.0" customHeight="1">
      <c r="A30" s="24" t="s">
        <v>181</v>
      </c>
      <c r="B30" s="24" t="s">
        <v>88</v>
      </c>
      <c r="C30" s="24" t="s">
        <v>182</v>
      </c>
      <c r="D30" s="24" t="s">
        <v>183</v>
      </c>
      <c r="E30" s="24" t="s">
        <v>184</v>
      </c>
      <c r="F30" s="24" t="s">
        <v>113</v>
      </c>
      <c r="G30" s="24" t="s">
        <v>185</v>
      </c>
      <c r="H30" s="24" t="s">
        <v>94</v>
      </c>
      <c r="I30" s="24" t="s">
        <v>113</v>
      </c>
    </row>
    <row r="31" ht="60.0" customHeight="1">
      <c r="A31" s="24" t="s">
        <v>186</v>
      </c>
      <c r="B31" s="24" t="s">
        <v>88</v>
      </c>
      <c r="C31" s="24" t="s">
        <v>182</v>
      </c>
      <c r="D31" s="24" t="s">
        <v>187</v>
      </c>
      <c r="E31" s="24" t="s">
        <v>188</v>
      </c>
      <c r="F31" s="24" t="s">
        <v>113</v>
      </c>
      <c r="G31" s="24" t="s">
        <v>189</v>
      </c>
      <c r="H31" s="24" t="s">
        <v>94</v>
      </c>
      <c r="I31" s="24" t="s">
        <v>113</v>
      </c>
    </row>
    <row r="32" ht="60.0" customHeight="1">
      <c r="A32" s="24" t="s">
        <v>190</v>
      </c>
      <c r="B32" s="24" t="s">
        <v>88</v>
      </c>
      <c r="C32" s="24" t="s">
        <v>182</v>
      </c>
      <c r="D32" s="24" t="s">
        <v>191</v>
      </c>
      <c r="E32" s="24" t="s">
        <v>129</v>
      </c>
      <c r="F32" s="24" t="s">
        <v>113</v>
      </c>
      <c r="G32" s="24" t="s">
        <v>192</v>
      </c>
      <c r="H32" s="24" t="s">
        <v>94</v>
      </c>
      <c r="I32" s="24" t="s">
        <v>113</v>
      </c>
    </row>
    <row r="33" ht="60.0" customHeight="1">
      <c r="A33" s="24" t="s">
        <v>193</v>
      </c>
      <c r="B33" s="24" t="s">
        <v>88</v>
      </c>
      <c r="C33" s="24" t="s">
        <v>182</v>
      </c>
      <c r="D33" s="24" t="s">
        <v>194</v>
      </c>
      <c r="E33" s="24" t="s">
        <v>195</v>
      </c>
      <c r="F33" s="24" t="s">
        <v>113</v>
      </c>
      <c r="G33" s="24" t="s">
        <v>113</v>
      </c>
      <c r="H33" s="24" t="s">
        <v>94</v>
      </c>
      <c r="I33" s="24" t="s">
        <v>113</v>
      </c>
    </row>
    <row r="34" ht="60.0" customHeight="1">
      <c r="A34" s="24" t="s">
        <v>196</v>
      </c>
      <c r="B34" s="24" t="s">
        <v>88</v>
      </c>
      <c r="C34" s="24" t="s">
        <v>182</v>
      </c>
      <c r="D34" s="24" t="s">
        <v>197</v>
      </c>
      <c r="E34" s="24" t="s">
        <v>198</v>
      </c>
      <c r="F34" s="24" t="s">
        <v>113</v>
      </c>
      <c r="G34" s="24" t="s">
        <v>113</v>
      </c>
      <c r="H34" s="24" t="s">
        <v>94</v>
      </c>
      <c r="I34" s="24" t="s">
        <v>113</v>
      </c>
    </row>
    <row r="35" ht="60.0" customHeight="1">
      <c r="A35" s="24" t="s">
        <v>199</v>
      </c>
      <c r="B35" s="24" t="s">
        <v>88</v>
      </c>
      <c r="C35" s="24" t="s">
        <v>182</v>
      </c>
      <c r="D35" s="24" t="s">
        <v>200</v>
      </c>
      <c r="E35" s="24" t="s">
        <v>201</v>
      </c>
      <c r="F35" s="24" t="s">
        <v>113</v>
      </c>
      <c r="G35" s="24" t="s">
        <v>113</v>
      </c>
      <c r="H35" s="24" t="s">
        <v>94</v>
      </c>
      <c r="I35" s="24" t="s">
        <v>95</v>
      </c>
    </row>
    <row r="36" ht="60.0" customHeight="1">
      <c r="A36" s="24" t="s">
        <v>202</v>
      </c>
      <c r="B36" s="24" t="s">
        <v>88</v>
      </c>
      <c r="C36" s="24" t="s">
        <v>203</v>
      </c>
      <c r="D36" s="24" t="s">
        <v>204</v>
      </c>
      <c r="E36" s="24" t="s">
        <v>205</v>
      </c>
      <c r="F36" s="24" t="s">
        <v>113</v>
      </c>
      <c r="G36" s="24" t="s">
        <v>113</v>
      </c>
      <c r="H36" s="24" t="s">
        <v>94</v>
      </c>
      <c r="I36" s="24" t="s">
        <v>113</v>
      </c>
    </row>
    <row r="37" ht="60.0" customHeight="1">
      <c r="A37" s="24" t="s">
        <v>206</v>
      </c>
      <c r="B37" s="24" t="s">
        <v>88</v>
      </c>
      <c r="C37" s="24" t="s">
        <v>203</v>
      </c>
      <c r="D37" s="24" t="s">
        <v>207</v>
      </c>
      <c r="E37" s="24" t="s">
        <v>159</v>
      </c>
      <c r="F37" s="24" t="s">
        <v>113</v>
      </c>
      <c r="G37" s="24" t="s">
        <v>95</v>
      </c>
      <c r="H37" s="24" t="s">
        <v>94</v>
      </c>
      <c r="I37" s="24" t="s">
        <v>113</v>
      </c>
    </row>
    <row r="38" ht="60.0" customHeight="1">
      <c r="A38" s="24" t="s">
        <v>208</v>
      </c>
      <c r="B38" s="24" t="s">
        <v>88</v>
      </c>
      <c r="C38" s="24" t="s">
        <v>203</v>
      </c>
      <c r="D38" s="24" t="s">
        <v>209</v>
      </c>
      <c r="E38" s="24" t="s">
        <v>210</v>
      </c>
      <c r="F38" s="24" t="s">
        <v>113</v>
      </c>
      <c r="G38" s="24" t="s">
        <v>113</v>
      </c>
      <c r="H38" s="24" t="s">
        <v>94</v>
      </c>
      <c r="I38" s="24" t="s">
        <v>113</v>
      </c>
    </row>
    <row r="39" ht="60.0" customHeight="1">
      <c r="A39" s="24" t="s">
        <v>211</v>
      </c>
      <c r="B39" s="24" t="s">
        <v>88</v>
      </c>
      <c r="C39" s="24" t="s">
        <v>203</v>
      </c>
      <c r="D39" s="24" t="s">
        <v>212</v>
      </c>
      <c r="E39" s="24" t="s">
        <v>213</v>
      </c>
      <c r="F39" s="24" t="s">
        <v>113</v>
      </c>
      <c r="G39" s="24" t="s">
        <v>113</v>
      </c>
      <c r="H39" s="24" t="s">
        <v>94</v>
      </c>
      <c r="I39" s="24" t="s">
        <v>113</v>
      </c>
    </row>
    <row r="40" ht="60.0" customHeight="1">
      <c r="A40" s="24" t="s">
        <v>214</v>
      </c>
      <c r="B40" s="24" t="s">
        <v>88</v>
      </c>
      <c r="C40" s="24" t="s">
        <v>203</v>
      </c>
      <c r="D40" s="24" t="s">
        <v>215</v>
      </c>
      <c r="E40" s="24" t="s">
        <v>216</v>
      </c>
      <c r="F40" s="24" t="s">
        <v>113</v>
      </c>
      <c r="G40" s="24" t="s">
        <v>113</v>
      </c>
      <c r="H40" s="24" t="s">
        <v>217</v>
      </c>
      <c r="I40" s="24" t="s">
        <v>113</v>
      </c>
    </row>
    <row r="41" ht="60.0" customHeight="1">
      <c r="A41" s="24" t="s">
        <v>218</v>
      </c>
      <c r="B41" s="24" t="s">
        <v>88</v>
      </c>
      <c r="C41" s="24" t="s">
        <v>203</v>
      </c>
      <c r="D41" s="24" t="s">
        <v>219</v>
      </c>
      <c r="E41" s="24" t="s">
        <v>220</v>
      </c>
      <c r="F41" s="24" t="s">
        <v>113</v>
      </c>
      <c r="G41" s="24" t="s">
        <v>113</v>
      </c>
      <c r="H41" s="24" t="s">
        <v>94</v>
      </c>
      <c r="I41" s="24" t="s">
        <v>113</v>
      </c>
    </row>
    <row r="42" ht="60.0" customHeight="1">
      <c r="A42" s="24" t="s">
        <v>221</v>
      </c>
      <c r="B42" s="24" t="s">
        <v>88</v>
      </c>
      <c r="C42" s="24" t="s">
        <v>203</v>
      </c>
      <c r="D42" s="24" t="s">
        <v>222</v>
      </c>
      <c r="E42" s="24" t="s">
        <v>223</v>
      </c>
      <c r="F42" s="24" t="s">
        <v>113</v>
      </c>
      <c r="G42" s="24" t="s">
        <v>113</v>
      </c>
      <c r="H42" s="24" t="s">
        <v>94</v>
      </c>
      <c r="I42" s="24" t="s">
        <v>113</v>
      </c>
    </row>
    <row r="43" ht="60.0" customHeight="1">
      <c r="A43" s="24" t="s">
        <v>224</v>
      </c>
      <c r="B43" s="24" t="s">
        <v>88</v>
      </c>
      <c r="C43" s="24" t="s">
        <v>203</v>
      </c>
      <c r="D43" s="24" t="s">
        <v>225</v>
      </c>
      <c r="E43" s="24" t="s">
        <v>226</v>
      </c>
      <c r="F43" s="24" t="s">
        <v>113</v>
      </c>
      <c r="G43" s="24" t="s">
        <v>95</v>
      </c>
      <c r="H43" s="24" t="s">
        <v>94</v>
      </c>
      <c r="I43" s="24" t="s">
        <v>113</v>
      </c>
    </row>
    <row r="44" ht="60.0" customHeight="1">
      <c r="A44" s="24" t="s">
        <v>227</v>
      </c>
      <c r="B44" s="24" t="s">
        <v>88</v>
      </c>
      <c r="C44" s="24" t="s">
        <v>203</v>
      </c>
      <c r="D44" s="24" t="s">
        <v>228</v>
      </c>
      <c r="E44" s="24" t="s">
        <v>229</v>
      </c>
      <c r="F44" s="24" t="s">
        <v>113</v>
      </c>
      <c r="G44" s="24" t="s">
        <v>95</v>
      </c>
      <c r="H44" s="24" t="s">
        <v>94</v>
      </c>
      <c r="I44" s="24" t="s">
        <v>113</v>
      </c>
    </row>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40.0"/>
    <col customWidth="1" min="2" max="26" width="8.71"/>
  </cols>
  <sheetData>
    <row r="1">
      <c r="A1" s="25" t="s">
        <v>230</v>
      </c>
    </row>
    <row r="2">
      <c r="A2" s="26" t="s">
        <v>87</v>
      </c>
    </row>
    <row r="3">
      <c r="A3" s="26" t="s">
        <v>96</v>
      </c>
    </row>
    <row r="4">
      <c r="A4" s="26" t="s">
        <v>100</v>
      </c>
    </row>
    <row r="5">
      <c r="A5" s="26" t="s">
        <v>103</v>
      </c>
    </row>
    <row r="6">
      <c r="A6" s="26" t="s">
        <v>106</v>
      </c>
    </row>
    <row r="7">
      <c r="A7" s="26" t="s">
        <v>109</v>
      </c>
    </row>
    <row r="8">
      <c r="A8" s="26" t="s">
        <v>114</v>
      </c>
    </row>
    <row r="9">
      <c r="A9" s="26" t="s">
        <v>117</v>
      </c>
    </row>
    <row r="10">
      <c r="A10" s="26" t="s">
        <v>121</v>
      </c>
    </row>
    <row r="11">
      <c r="A11" s="26" t="s">
        <v>124</v>
      </c>
    </row>
    <row r="12">
      <c r="A12" s="26" t="s">
        <v>127</v>
      </c>
    </row>
    <row r="13">
      <c r="A13" s="26" t="s">
        <v>130</v>
      </c>
    </row>
    <row r="14">
      <c r="A14" s="26" t="s">
        <v>132</v>
      </c>
    </row>
    <row r="15">
      <c r="A15" s="26" t="s">
        <v>135</v>
      </c>
    </row>
    <row r="16">
      <c r="A16" s="26" t="s">
        <v>138</v>
      </c>
    </row>
    <row r="17">
      <c r="A17" s="26" t="s">
        <v>142</v>
      </c>
    </row>
    <row r="18">
      <c r="A18" s="26" t="s">
        <v>144</v>
      </c>
    </row>
    <row r="19">
      <c r="A19" s="26" t="s">
        <v>146</v>
      </c>
    </row>
    <row r="20">
      <c r="A20" s="26" t="s">
        <v>150</v>
      </c>
    </row>
    <row r="21" ht="15.75" customHeight="1">
      <c r="A21" s="26" t="s">
        <v>152</v>
      </c>
    </row>
    <row r="22" ht="15.75" customHeight="1">
      <c r="A22" s="26" t="s">
        <v>155</v>
      </c>
    </row>
    <row r="23" ht="15.75" customHeight="1">
      <c r="A23" s="26" t="s">
        <v>157</v>
      </c>
    </row>
    <row r="24" ht="15.75" customHeight="1">
      <c r="A24" s="26" t="s">
        <v>160</v>
      </c>
    </row>
    <row r="25" ht="15.75" customHeight="1">
      <c r="A25" s="26" t="s">
        <v>163</v>
      </c>
    </row>
    <row r="26" ht="15.75" customHeight="1">
      <c r="A26" s="26" t="s">
        <v>166</v>
      </c>
    </row>
    <row r="27" ht="15.75" customHeight="1">
      <c r="A27" s="26" t="s">
        <v>171</v>
      </c>
    </row>
    <row r="28" ht="15.75" customHeight="1">
      <c r="A28" s="26" t="s">
        <v>175</v>
      </c>
    </row>
    <row r="29" ht="15.75" customHeight="1">
      <c r="A29" s="26" t="s">
        <v>178</v>
      </c>
    </row>
    <row r="30" ht="15.75" customHeight="1">
      <c r="A30" s="26" t="s">
        <v>181</v>
      </c>
    </row>
    <row r="31" ht="15.75" customHeight="1">
      <c r="A31" s="26" t="s">
        <v>186</v>
      </c>
    </row>
    <row r="32" ht="15.75" customHeight="1">
      <c r="A32" s="26" t="s">
        <v>190</v>
      </c>
    </row>
    <row r="33" ht="15.75" customHeight="1">
      <c r="A33" s="26" t="s">
        <v>193</v>
      </c>
    </row>
    <row r="34" ht="15.75" customHeight="1">
      <c r="A34" s="26" t="s">
        <v>196</v>
      </c>
    </row>
    <row r="35" ht="15.75" customHeight="1">
      <c r="A35" s="26" t="s">
        <v>199</v>
      </c>
    </row>
    <row r="36" ht="15.75" customHeight="1">
      <c r="A36" s="26" t="s">
        <v>202</v>
      </c>
    </row>
    <row r="37" ht="15.75" customHeight="1">
      <c r="A37" s="26" t="s">
        <v>206</v>
      </c>
    </row>
    <row r="38" ht="15.75" customHeight="1">
      <c r="A38" s="26" t="s">
        <v>208</v>
      </c>
    </row>
    <row r="39" ht="15.75" customHeight="1">
      <c r="A39" s="26" t="s">
        <v>211</v>
      </c>
    </row>
    <row r="40" ht="15.75" customHeight="1">
      <c r="A40" s="26" t="s">
        <v>214</v>
      </c>
    </row>
    <row r="41" ht="15.75" customHeight="1">
      <c r="A41" s="26" t="s">
        <v>218</v>
      </c>
    </row>
    <row r="42" ht="15.75" customHeight="1">
      <c r="A42" s="26" t="s">
        <v>221</v>
      </c>
    </row>
    <row r="43" ht="15.75" customHeight="1">
      <c r="A43" s="26" t="s">
        <v>224</v>
      </c>
    </row>
    <row r="44" ht="15.75" customHeight="1">
      <c r="A44" s="26" t="s">
        <v>227</v>
      </c>
    </row>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2.0" topLeftCell="A3" activePane="bottomLeft" state="frozen"/>
      <selection activeCell="B4" sqref="B4" pane="bottomLeft"/>
    </sheetView>
  </sheetViews>
  <sheetFormatPr customHeight="1" defaultColWidth="14.43" defaultRowHeight="15.0"/>
  <cols>
    <col customWidth="1" min="1" max="1" width="28.0"/>
    <col customWidth="1" min="2" max="2" width="70.0"/>
    <col customWidth="1" min="3" max="3" width="12.0"/>
    <col customWidth="1" min="4" max="4" width="32.0"/>
    <col customWidth="1" min="5" max="5" width="18.0"/>
    <col customWidth="1" min="6" max="26" width="8.71"/>
  </cols>
  <sheetData>
    <row r="1" ht="27.75" customHeight="1">
      <c r="A1" s="27" t="s">
        <v>231</v>
      </c>
      <c r="B1" s="2"/>
      <c r="C1" s="2"/>
      <c r="D1" s="2"/>
      <c r="E1" s="3"/>
    </row>
    <row r="2">
      <c r="A2" s="28" t="s">
        <v>232</v>
      </c>
      <c r="B2" s="28" t="s">
        <v>233</v>
      </c>
      <c r="C2" s="28" t="s">
        <v>234</v>
      </c>
      <c r="D2" s="28" t="s">
        <v>235</v>
      </c>
      <c r="E2" s="28" t="s">
        <v>236</v>
      </c>
    </row>
    <row r="3" ht="60.0" customHeight="1">
      <c r="A3" s="6" t="s">
        <v>237</v>
      </c>
      <c r="B3" s="6" t="s">
        <v>238</v>
      </c>
      <c r="C3" s="6" t="s">
        <v>88</v>
      </c>
      <c r="D3" s="6" t="s">
        <v>239</v>
      </c>
      <c r="E3" s="6"/>
    </row>
    <row r="4" ht="60.0" customHeight="1">
      <c r="A4" s="6" t="s">
        <v>240</v>
      </c>
      <c r="B4" s="6" t="s">
        <v>241</v>
      </c>
      <c r="C4" s="6" t="s">
        <v>88</v>
      </c>
      <c r="D4" s="6" t="s">
        <v>242</v>
      </c>
      <c r="E4" s="6"/>
    </row>
    <row r="5" ht="60.0" customHeight="1">
      <c r="A5" s="6" t="s">
        <v>243</v>
      </c>
      <c r="B5" s="6" t="s">
        <v>244</v>
      </c>
      <c r="C5" s="6" t="s">
        <v>88</v>
      </c>
      <c r="D5" s="6" t="s">
        <v>242</v>
      </c>
      <c r="E5" s="6"/>
    </row>
    <row r="6" ht="60.0" customHeight="1">
      <c r="A6" s="6" t="s">
        <v>245</v>
      </c>
      <c r="B6" s="6" t="s">
        <v>246</v>
      </c>
      <c r="C6" s="6" t="s">
        <v>88</v>
      </c>
      <c r="D6" s="6" t="s">
        <v>242</v>
      </c>
      <c r="E6" s="6"/>
    </row>
    <row r="7" ht="60.0" customHeight="1">
      <c r="A7" s="6" t="s">
        <v>247</v>
      </c>
      <c r="B7" s="6" t="s">
        <v>248</v>
      </c>
      <c r="C7" s="6" t="s">
        <v>88</v>
      </c>
      <c r="D7" s="6" t="s">
        <v>242</v>
      </c>
      <c r="E7" s="6"/>
    </row>
    <row r="8" ht="60.0" customHeight="1">
      <c r="A8" s="6" t="s">
        <v>249</v>
      </c>
      <c r="B8" s="6" t="s">
        <v>250</v>
      </c>
      <c r="C8" s="6" t="s">
        <v>88</v>
      </c>
      <c r="D8" s="6" t="s">
        <v>242</v>
      </c>
      <c r="E8" s="6"/>
    </row>
    <row r="9" ht="60.0" customHeight="1">
      <c r="A9" s="6" t="s">
        <v>251</v>
      </c>
      <c r="B9" s="6" t="s">
        <v>252</v>
      </c>
      <c r="C9" s="6" t="s">
        <v>88</v>
      </c>
      <c r="D9" s="6" t="s">
        <v>242</v>
      </c>
      <c r="E9" s="6"/>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E1"/>
  </mergeCells>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pageSetUpPr/>
  </sheetPr>
  <sheetViews>
    <sheetView showGridLines="0" workbookViewId="0">
      <pane ySplit="2.0" topLeftCell="A3" activePane="bottomLeft" state="frozen"/>
      <selection activeCell="B4" sqref="B4" pane="bottomLeft"/>
    </sheetView>
  </sheetViews>
  <sheetFormatPr customHeight="1" defaultColWidth="14.43" defaultRowHeight="15.0"/>
  <cols>
    <col customWidth="1" min="1" max="1" width="36.0"/>
    <col customWidth="1" min="2" max="2" width="8.0"/>
    <col customWidth="1" min="3" max="3" width="45.0"/>
    <col customWidth="1" min="4" max="4" width="35.0"/>
    <col customWidth="1" min="5" max="5" width="25.0"/>
    <col customWidth="1" min="6" max="6" width="20.0"/>
    <col customWidth="1" min="7" max="26" width="8.71"/>
  </cols>
  <sheetData>
    <row r="1" ht="27.75" customHeight="1">
      <c r="A1" s="27" t="s">
        <v>253</v>
      </c>
      <c r="B1" s="2"/>
      <c r="C1" s="2"/>
      <c r="D1" s="2"/>
      <c r="E1" s="2"/>
      <c r="F1" s="3"/>
    </row>
    <row r="2">
      <c r="A2" s="28" t="s">
        <v>24</v>
      </c>
      <c r="B2" s="28" t="s">
        <v>25</v>
      </c>
      <c r="C2" s="28" t="s">
        <v>254</v>
      </c>
      <c r="D2" s="28" t="s">
        <v>255</v>
      </c>
      <c r="E2" s="28" t="s">
        <v>256</v>
      </c>
      <c r="F2" s="28" t="s">
        <v>257</v>
      </c>
    </row>
    <row r="3" ht="61.5" customHeight="1">
      <c r="A3" s="6" t="s">
        <v>33</v>
      </c>
      <c r="B3" s="6">
        <v>5.0</v>
      </c>
      <c r="C3" s="6" t="s">
        <v>258</v>
      </c>
      <c r="D3" s="6" t="s">
        <v>259</v>
      </c>
      <c r="E3" s="6" t="s">
        <v>260</v>
      </c>
      <c r="F3" s="6"/>
    </row>
    <row r="4" ht="61.5" customHeight="1">
      <c r="A4" s="6" t="s">
        <v>35</v>
      </c>
      <c r="B4" s="6">
        <v>5.0</v>
      </c>
      <c r="C4" s="6" t="s">
        <v>258</v>
      </c>
      <c r="D4" s="6" t="s">
        <v>259</v>
      </c>
      <c r="E4" s="6" t="s">
        <v>260</v>
      </c>
      <c r="F4" s="6"/>
    </row>
    <row r="5" ht="61.5" customHeight="1">
      <c r="A5" s="6" t="s">
        <v>39</v>
      </c>
      <c r="B5" s="6">
        <v>11.0</v>
      </c>
      <c r="C5" s="6" t="s">
        <v>258</v>
      </c>
      <c r="D5" s="6" t="s">
        <v>259</v>
      </c>
      <c r="E5" s="6" t="s">
        <v>260</v>
      </c>
      <c r="F5" s="6"/>
    </row>
    <row r="6" ht="61.5" customHeight="1">
      <c r="A6" s="6" t="s">
        <v>41</v>
      </c>
      <c r="B6" s="6">
        <v>11.0</v>
      </c>
      <c r="C6" s="6" t="s">
        <v>258</v>
      </c>
      <c r="D6" s="6" t="s">
        <v>259</v>
      </c>
      <c r="E6" s="6" t="s">
        <v>260</v>
      </c>
      <c r="F6" s="6"/>
    </row>
    <row r="7" ht="61.5" customHeight="1">
      <c r="A7" s="6" t="s">
        <v>44</v>
      </c>
      <c r="B7" s="6">
        <v>11.0</v>
      </c>
      <c r="C7" s="6" t="s">
        <v>258</v>
      </c>
      <c r="D7" s="6" t="s">
        <v>259</v>
      </c>
      <c r="E7" s="6" t="s">
        <v>260</v>
      </c>
      <c r="F7" s="6"/>
    </row>
    <row r="8" ht="61.5" customHeight="1">
      <c r="A8" s="6" t="s">
        <v>48</v>
      </c>
      <c r="B8" s="6">
        <v>10.0</v>
      </c>
      <c r="C8" s="6" t="s">
        <v>258</v>
      </c>
      <c r="D8" s="6" t="s">
        <v>259</v>
      </c>
      <c r="E8" s="6" t="s">
        <v>260</v>
      </c>
      <c r="F8" s="6" t="s">
        <v>261</v>
      </c>
    </row>
    <row r="9" ht="61.5" customHeight="1">
      <c r="A9" s="6" t="s">
        <v>50</v>
      </c>
      <c r="B9" s="6">
        <v>5.0</v>
      </c>
      <c r="C9" s="6" t="s">
        <v>258</v>
      </c>
      <c r="D9" s="6" t="s">
        <v>259</v>
      </c>
      <c r="E9" s="6" t="s">
        <v>260</v>
      </c>
      <c r="F9" s="6"/>
    </row>
    <row r="10" ht="61.5" customHeight="1">
      <c r="A10" s="6" t="s">
        <v>52</v>
      </c>
      <c r="B10" s="6">
        <v>5.0</v>
      </c>
      <c r="C10" s="6" t="s">
        <v>258</v>
      </c>
      <c r="D10" s="6" t="s">
        <v>259</v>
      </c>
      <c r="E10" s="6" t="s">
        <v>260</v>
      </c>
      <c r="F10" s="6"/>
    </row>
    <row r="11" ht="61.5" customHeight="1">
      <c r="A11" s="6" t="s">
        <v>55</v>
      </c>
      <c r="B11" s="6">
        <v>11.0</v>
      </c>
      <c r="C11" s="6" t="s">
        <v>258</v>
      </c>
      <c r="D11" s="6" t="s">
        <v>259</v>
      </c>
      <c r="E11" s="6" t="s">
        <v>260</v>
      </c>
      <c r="F11" s="6"/>
    </row>
    <row r="12" ht="61.5" customHeight="1">
      <c r="A12" s="6" t="s">
        <v>57</v>
      </c>
      <c r="B12" s="6">
        <v>11.0</v>
      </c>
      <c r="C12" s="6" t="s">
        <v>258</v>
      </c>
      <c r="D12" s="6" t="s">
        <v>259</v>
      </c>
      <c r="E12" s="6" t="s">
        <v>260</v>
      </c>
      <c r="F12" s="6"/>
    </row>
    <row r="13" ht="61.5" customHeight="1">
      <c r="A13" s="6" t="s">
        <v>59</v>
      </c>
      <c r="B13" s="6">
        <v>5.0</v>
      </c>
      <c r="C13" s="6" t="s">
        <v>258</v>
      </c>
      <c r="D13" s="6" t="s">
        <v>259</v>
      </c>
      <c r="E13" s="6" t="s">
        <v>260</v>
      </c>
      <c r="F13" s="6"/>
    </row>
    <row r="14" ht="61.5" customHeight="1">
      <c r="A14" s="6" t="s">
        <v>61</v>
      </c>
      <c r="B14" s="6">
        <v>5.0</v>
      </c>
      <c r="C14" s="6" t="s">
        <v>258</v>
      </c>
      <c r="D14" s="6" t="s">
        <v>259</v>
      </c>
      <c r="E14" s="6" t="s">
        <v>260</v>
      </c>
      <c r="F14" s="6"/>
    </row>
    <row r="15" ht="61.5" customHeight="1">
      <c r="A15" s="6" t="s">
        <v>64</v>
      </c>
      <c r="B15" s="6">
        <v>5.0</v>
      </c>
      <c r="C15" s="6" t="s">
        <v>258</v>
      </c>
      <c r="D15" s="6" t="s">
        <v>259</v>
      </c>
      <c r="E15" s="6" t="s">
        <v>260</v>
      </c>
      <c r="F15" s="6"/>
    </row>
    <row r="16" ht="61.5" customHeight="1">
      <c r="A16" s="6" t="s">
        <v>262</v>
      </c>
      <c r="B16" s="6"/>
      <c r="C16" s="6"/>
      <c r="D16" s="6"/>
      <c r="E16" s="6"/>
      <c r="F16" s="6" t="s">
        <v>263</v>
      </c>
    </row>
    <row r="17" ht="61.5" customHeight="1">
      <c r="A17" s="6" t="s">
        <v>68</v>
      </c>
      <c r="B17" s="6" t="s">
        <v>264</v>
      </c>
      <c r="C17" s="6" t="s">
        <v>265</v>
      </c>
      <c r="D17" s="6"/>
      <c r="E17" s="6" t="s">
        <v>266</v>
      </c>
      <c r="F17" s="6" t="s">
        <v>71</v>
      </c>
    </row>
    <row r="18" ht="61.5" customHeight="1">
      <c r="A18" s="6" t="s">
        <v>72</v>
      </c>
      <c r="B18" s="6" t="s">
        <v>264</v>
      </c>
      <c r="C18" s="6" t="s">
        <v>265</v>
      </c>
      <c r="D18" s="6"/>
      <c r="E18" s="6" t="s">
        <v>266</v>
      </c>
      <c r="F18" s="6" t="s">
        <v>73</v>
      </c>
    </row>
    <row r="19" ht="61.5" customHeight="1">
      <c r="A19" s="6" t="s">
        <v>74</v>
      </c>
      <c r="B19" s="6" t="s">
        <v>264</v>
      </c>
      <c r="C19" s="6" t="s">
        <v>265</v>
      </c>
      <c r="D19" s="6"/>
      <c r="E19" s="6" t="s">
        <v>266</v>
      </c>
      <c r="F19" s="6" t="s">
        <v>75</v>
      </c>
    </row>
    <row r="20" ht="61.5" customHeight="1">
      <c r="A20" s="6" t="s">
        <v>76</v>
      </c>
      <c r="B20" s="6" t="s">
        <v>264</v>
      </c>
      <c r="C20" s="6" t="s">
        <v>265</v>
      </c>
      <c r="D20" s="6"/>
      <c r="E20" s="6" t="s">
        <v>266</v>
      </c>
      <c r="F20" s="6" t="s">
        <v>77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F1"/>
  </mergeCells>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sheetPr>
  <sheetViews>
    <sheetView workbookViewId="0"/>
  </sheetViews>
  <sheetFormatPr customHeight="1" defaultColWidth="14.43" defaultRowHeight="15.0"/>
  <cols>
    <col customWidth="1" min="1" max="1" width="19.0"/>
    <col customWidth="1" min="2" max="2" width="22.0"/>
    <col customWidth="1" min="3" max="3" width="34.14"/>
    <col customWidth="1" min="4" max="4" width="11.57"/>
    <col customWidth="1" min="5" max="5" width="264.14"/>
    <col customWidth="1" min="6" max="26" width="8.71"/>
  </cols>
  <sheetData>
    <row r="2">
      <c r="A2" s="26" t="s">
        <v>267</v>
      </c>
      <c r="B2" s="26" t="s">
        <v>268</v>
      </c>
      <c r="E2" s="26" t="s">
        <v>269</v>
      </c>
    </row>
    <row r="3">
      <c r="A3" s="26" t="s">
        <v>270</v>
      </c>
      <c r="B3" s="26" t="s">
        <v>271</v>
      </c>
      <c r="E3" s="26" t="s">
        <v>272</v>
      </c>
    </row>
    <row r="4">
      <c r="A4" s="26" t="s">
        <v>273</v>
      </c>
      <c r="B4" s="26" t="s">
        <v>274</v>
      </c>
      <c r="E4" s="26" t="s">
        <v>275</v>
      </c>
    </row>
    <row r="5">
      <c r="A5" s="26" t="s">
        <v>276</v>
      </c>
      <c r="B5" s="26" t="s">
        <v>277</v>
      </c>
    </row>
    <row r="7">
      <c r="A7" s="26" t="s">
        <v>278</v>
      </c>
      <c r="B7" s="26" t="s">
        <v>23</v>
      </c>
      <c r="C7" s="26" t="s">
        <v>24</v>
      </c>
      <c r="D7" s="26" t="s">
        <v>279</v>
      </c>
      <c r="E7" s="26" t="s">
        <v>280</v>
      </c>
      <c r="F7" s="26" t="s">
        <v>236</v>
      </c>
      <c r="H7" s="26" t="s">
        <v>281</v>
      </c>
      <c r="I7" s="26" t="s">
        <v>282</v>
      </c>
      <c r="J7" s="26" t="s">
        <v>283</v>
      </c>
      <c r="K7" s="26" t="s">
        <v>284</v>
      </c>
    </row>
    <row r="8">
      <c r="A8" s="26" t="s">
        <v>31</v>
      </c>
      <c r="B8" s="26" t="s">
        <v>32</v>
      </c>
      <c r="C8" s="26" t="s">
        <v>285</v>
      </c>
      <c r="D8" s="26" t="s">
        <v>286</v>
      </c>
      <c r="E8" s="26" t="s">
        <v>287</v>
      </c>
      <c r="I8" s="26" t="s">
        <v>99</v>
      </c>
    </row>
    <row r="9">
      <c r="C9" s="26" t="s">
        <v>288</v>
      </c>
      <c r="D9" s="26" t="s">
        <v>289</v>
      </c>
      <c r="E9" s="26" t="s">
        <v>290</v>
      </c>
      <c r="I9" s="26" t="s">
        <v>99</v>
      </c>
    </row>
    <row r="10">
      <c r="B10" s="26" t="s">
        <v>38</v>
      </c>
      <c r="C10" s="26" t="s">
        <v>291</v>
      </c>
      <c r="D10" s="26" t="s">
        <v>289</v>
      </c>
      <c r="E10" s="26" t="s">
        <v>292</v>
      </c>
      <c r="I10" s="26" t="s">
        <v>18</v>
      </c>
    </row>
    <row r="11">
      <c r="C11" s="26" t="s">
        <v>293</v>
      </c>
      <c r="D11" s="26" t="s">
        <v>289</v>
      </c>
      <c r="E11" s="26" t="s">
        <v>294</v>
      </c>
      <c r="I11" s="26" t="s">
        <v>18</v>
      </c>
    </row>
    <row r="12">
      <c r="C12" s="26" t="s">
        <v>295</v>
      </c>
      <c r="D12" s="26" t="s">
        <v>286</v>
      </c>
      <c r="E12" s="26" t="s">
        <v>296</v>
      </c>
      <c r="I12" s="26" t="s">
        <v>99</v>
      </c>
    </row>
    <row r="13">
      <c r="C13" s="26" t="s">
        <v>297</v>
      </c>
      <c r="D13" s="26" t="s">
        <v>298</v>
      </c>
      <c r="E13" s="26" t="s">
        <v>299</v>
      </c>
      <c r="I13" s="26" t="s">
        <v>18</v>
      </c>
    </row>
    <row r="14">
      <c r="C14" s="26" t="s">
        <v>300</v>
      </c>
      <c r="D14" s="26" t="s">
        <v>301</v>
      </c>
      <c r="E14" s="26" t="s">
        <v>302</v>
      </c>
      <c r="I14" s="26" t="s">
        <v>303</v>
      </c>
    </row>
    <row r="15">
      <c r="A15" s="26" t="s">
        <v>304</v>
      </c>
      <c r="B15" s="26" t="s">
        <v>305</v>
      </c>
      <c r="C15" s="26" t="s">
        <v>306</v>
      </c>
      <c r="D15" s="26" t="s">
        <v>286</v>
      </c>
      <c r="E15" s="26" t="s">
        <v>307</v>
      </c>
      <c r="I15" s="26" t="s">
        <v>18</v>
      </c>
    </row>
    <row r="16">
      <c r="C16" s="26" t="s">
        <v>308</v>
      </c>
      <c r="D16" s="26" t="s">
        <v>286</v>
      </c>
      <c r="E16" s="26" t="s">
        <v>309</v>
      </c>
      <c r="I16" s="26" t="s">
        <v>99</v>
      </c>
    </row>
    <row r="17">
      <c r="C17" s="26" t="s">
        <v>310</v>
      </c>
      <c r="D17" s="26" t="s">
        <v>311</v>
      </c>
      <c r="E17" s="26" t="s">
        <v>312</v>
      </c>
      <c r="I17" s="26" t="s">
        <v>99</v>
      </c>
    </row>
    <row r="18">
      <c r="C18" s="26" t="s">
        <v>313</v>
      </c>
      <c r="D18" s="26" t="s">
        <v>286</v>
      </c>
      <c r="E18" s="26" t="s">
        <v>314</v>
      </c>
      <c r="I18" s="26" t="s">
        <v>99</v>
      </c>
    </row>
    <row r="19">
      <c r="B19" s="26" t="s">
        <v>63</v>
      </c>
      <c r="C19" s="26" t="s">
        <v>315</v>
      </c>
      <c r="D19" s="26" t="s">
        <v>316</v>
      </c>
      <c r="E19" s="26" t="s">
        <v>317</v>
      </c>
      <c r="I19" s="26" t="s">
        <v>99</v>
      </c>
    </row>
    <row r="20">
      <c r="C20" s="26" t="s">
        <v>318</v>
      </c>
      <c r="D20" s="26" t="s">
        <v>301</v>
      </c>
      <c r="E20" s="26" t="s">
        <v>319</v>
      </c>
      <c r="I20" s="26" t="s">
        <v>18</v>
      </c>
    </row>
    <row r="21" ht="15.75" customHeight="1">
      <c r="A21" s="26" t="s">
        <v>320</v>
      </c>
      <c r="C21" s="26" t="s">
        <v>68</v>
      </c>
      <c r="D21" s="26" t="s">
        <v>321</v>
      </c>
      <c r="E21" s="26" t="s">
        <v>71</v>
      </c>
      <c r="I21" s="26" t="s">
        <v>265</v>
      </c>
    </row>
    <row r="22" ht="15.75" customHeight="1">
      <c r="C22" s="26" t="s">
        <v>72</v>
      </c>
      <c r="D22" s="26" t="s">
        <v>321</v>
      </c>
      <c r="E22" s="26" t="s">
        <v>73</v>
      </c>
      <c r="I22" s="26" t="s">
        <v>265</v>
      </c>
    </row>
    <row r="23" ht="15.75" customHeight="1">
      <c r="C23" s="26" t="s">
        <v>74</v>
      </c>
      <c r="D23" s="26" t="s">
        <v>322</v>
      </c>
      <c r="E23" s="26" t="s">
        <v>75</v>
      </c>
      <c r="I23" s="26" t="s">
        <v>265</v>
      </c>
    </row>
    <row r="24" ht="15.75" customHeight="1">
      <c r="C24" s="26" t="s">
        <v>76</v>
      </c>
      <c r="D24" s="26" t="s">
        <v>322</v>
      </c>
      <c r="E24" s="26" t="s">
        <v>323</v>
      </c>
      <c r="I24" s="26" t="s">
        <v>265</v>
      </c>
    </row>
    <row r="25" ht="15.75" customHeight="1">
      <c r="A25" s="26" t="s">
        <v>236</v>
      </c>
    </row>
    <row r="26" ht="15.75" customHeight="1"/>
    <row r="27" ht="15.75" customHeight="1"/>
    <row r="28" ht="15.75" customHeight="1">
      <c r="A28" s="26" t="s">
        <v>324</v>
      </c>
    </row>
    <row r="29" ht="15.75" customHeight="1">
      <c r="A29" s="26" t="s">
        <v>67</v>
      </c>
      <c r="D29" s="26" t="s">
        <v>325</v>
      </c>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